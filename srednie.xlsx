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60" windowWidth="11295" windowHeight="5580" activeTab="3"/>
  </bookViews>
  <sheets>
    <sheet name="Arkusz1" sheetId="1" r:id="rId1"/>
    <sheet name="Arkusz2" sheetId="2" r:id="rId2"/>
    <sheet name="Arkusz3" sheetId="3" r:id="rId3"/>
    <sheet name="Arkusz4" sheetId="4" r:id="rId4"/>
  </sheets>
  <calcPr calcId="125725"/>
</workbook>
</file>

<file path=xl/calcChain.xml><?xml version="1.0" encoding="utf-8"?>
<calcChain xmlns="http://schemas.openxmlformats.org/spreadsheetml/2006/main">
  <c r="K56" i="4"/>
  <c r="K57"/>
  <c r="K58"/>
  <c r="K59"/>
  <c r="K60"/>
  <c r="K61"/>
  <c r="K62"/>
  <c r="K63"/>
  <c r="K55"/>
  <c r="J16" i="2"/>
  <c r="I16"/>
  <c r="H16"/>
  <c r="G16"/>
  <c r="F16"/>
  <c r="E16"/>
  <c r="D16"/>
  <c r="C16"/>
  <c r="B16"/>
  <c r="J15"/>
  <c r="I15"/>
  <c r="H15"/>
  <c r="G15"/>
  <c r="F15"/>
  <c r="E15"/>
  <c r="D15"/>
  <c r="C15"/>
  <c r="B15"/>
  <c r="C11"/>
  <c r="C10"/>
  <c r="C9"/>
  <c r="C8"/>
  <c r="C6"/>
  <c r="C7"/>
  <c r="C5"/>
  <c r="C4"/>
  <c r="C3"/>
</calcChain>
</file>

<file path=xl/sharedStrings.xml><?xml version="1.0" encoding="utf-8"?>
<sst xmlns="http://schemas.openxmlformats.org/spreadsheetml/2006/main" count="752" uniqueCount="539">
  <si>
    <t>Uczciwy</t>
  </si>
  <si>
    <t>Wiarygodny</t>
  </si>
  <si>
    <t>Kompetentny</t>
  </si>
  <si>
    <t>Konsekwentny</t>
  </si>
  <si>
    <t>Charyzmatyczny</t>
  </si>
  <si>
    <t>Komunikatywny</t>
  </si>
  <si>
    <t xml:space="preserve">Kulturalny </t>
  </si>
  <si>
    <t>Lojalny</t>
  </si>
  <si>
    <t>Odpowiedzialny</t>
  </si>
  <si>
    <t>Medialny</t>
  </si>
  <si>
    <t xml:space="preserve">Innowacyjny </t>
  </si>
  <si>
    <t>Tolerancyjny</t>
  </si>
  <si>
    <t>Dyplomatyczny</t>
  </si>
  <si>
    <t>Szanowany</t>
  </si>
  <si>
    <t>Elokwentny</t>
  </si>
  <si>
    <t>Wpływowy</t>
  </si>
  <si>
    <t>Atrakcyjny</t>
  </si>
  <si>
    <t>MAX</t>
  </si>
  <si>
    <t>MIN</t>
  </si>
  <si>
    <t>Donald Tusk</t>
  </si>
  <si>
    <t>Rafał Trzaskowski</t>
  </si>
  <si>
    <t>Szymon Hołownia</t>
  </si>
  <si>
    <t>Sławomir Mentzen</t>
  </si>
  <si>
    <t>Jarosław Kaczyński</t>
  </si>
  <si>
    <t>Władysław Kosiniak-Kamysz</t>
  </si>
  <si>
    <t>Karol Nawrocki</t>
  </si>
  <si>
    <t>Adrian Zandberg</t>
  </si>
  <si>
    <t>Polityk Idealny</t>
  </si>
  <si>
    <t>ŚREDNIA OCEN</t>
  </si>
  <si>
    <t>NAJNIŻSZA ŚREDNIA OCENA</t>
  </si>
  <si>
    <t xml:space="preserve">CECHA </t>
  </si>
  <si>
    <t>NAJWYŻSZA ŚREDNIA OCENA</t>
  </si>
  <si>
    <t>CECHA</t>
  </si>
  <si>
    <t>POLITYK Z NAJWYŻSZĄ ŚREDNIĄ OCENĄ CECHY</t>
  </si>
  <si>
    <t>POLITYK Z NAJNIŻSZĄ ŚREDNIĄ OCENĄ CECHY</t>
  </si>
  <si>
    <t>[1,]</t>
  </si>
  <si>
    <t>[2,]</t>
  </si>
  <si>
    <t>[3,]</t>
  </si>
  <si>
    <t>[4,]</t>
  </si>
  <si>
    <t>[5,]</t>
  </si>
  <si>
    <t>[6,]</t>
  </si>
  <si>
    <t>[7,]</t>
  </si>
  <si>
    <t>[8,]</t>
  </si>
  <si>
    <t>[9,]</t>
  </si>
  <si>
    <t>[10,]</t>
  </si>
  <si>
    <t>[11,]</t>
  </si>
  <si>
    <t>[12,]</t>
  </si>
  <si>
    <t>[13,]</t>
  </si>
  <si>
    <t>[14,]</t>
  </si>
  <si>
    <t>[15,]</t>
  </si>
  <si>
    <t>[16,]</t>
  </si>
  <si>
    <t>[17,]</t>
  </si>
  <si>
    <t>SUMY WZGLĘDNE</t>
  </si>
  <si>
    <t>WSPÓŁRZĘDNE PIERWSZEGO WYMIARU</t>
  </si>
  <si>
    <t>WSPÓŁRZĘDNE DRUGIEGO WYMIARU</t>
  </si>
  <si>
    <t>MASY</t>
  </si>
  <si>
    <t>JAKOŚĆ</t>
  </si>
  <si>
    <t>WZGLĘDNA BEZWŁADNOŚĆ</t>
  </si>
  <si>
    <t>WYMIAR 1</t>
  </si>
  <si>
    <t>WYMIAR 2</t>
  </si>
  <si>
    <t>BEZWŁADNOŚĆ</t>
  </si>
  <si>
    <t>COS2</t>
  </si>
  <si>
    <t>0.014600237</t>
  </si>
  <si>
    <t>0.0299333963</t>
  </si>
  <si>
    <t>0.008344512</t>
  </si>
  <si>
    <t>0.008503530</t>
  </si>
  <si>
    <t>0.0030382372</t>
  </si>
  <si>
    <t>-0.0015520669</t>
  </si>
  <si>
    <t>0.001217389</t>
  </si>
  <si>
    <t>0.0243759586</t>
  </si>
  <si>
    <t>0.019749480</t>
  </si>
  <si>
    <t>-0.006754162</t>
  </si>
  <si>
    <t>0.0015719998</t>
  </si>
  <si>
    <t>0.0016254768</t>
  </si>
  <si>
    <t>-0.031855763</t>
  </si>
  <si>
    <t>0.0045494531</t>
  </si>
  <si>
    <t>0.024952804</t>
  </si>
  <si>
    <t>-0.015478885</t>
  </si>
  <si>
    <t>-0.0134650086</t>
  </si>
  <si>
    <t>0.0032378140</t>
  </si>
  <si>
    <t>0.039833973</t>
  </si>
  <si>
    <t>0.0011113566</t>
  </si>
  <si>
    <t>-0.034646337</t>
  </si>
  <si>
    <t>-0.009858956</t>
  </si>
  <si>
    <t>-0.0026000612</t>
  </si>
  <si>
    <t>-0.0059805409</t>
  </si>
  <si>
    <t>0.013639035</t>
  </si>
  <si>
    <t>0.0372814763</t>
  </si>
  <si>
    <t>-0.003954029</t>
  </si>
  <si>
    <t>-0.001704859</t>
  </si>
  <si>
    <t>0.0121388378</t>
  </si>
  <si>
    <t>0.0045537282</t>
  </si>
  <si>
    <t>0.004816328</t>
  </si>
  <si>
    <t>0.0181712398</t>
  </si>
  <si>
    <t>0.004020628</t>
  </si>
  <si>
    <t>0.019205776</t>
  </si>
  <si>
    <t>0.0161683537</t>
  </si>
  <si>
    <t>-0.0030037024</t>
  </si>
  <si>
    <t>-0.009825320</t>
  </si>
  <si>
    <t>-0.0424382403</t>
  </si>
  <si>
    <t>-0.000852683</t>
  </si>
  <si>
    <t>0.041146079</t>
  </si>
  <si>
    <t>-0.0143255158</t>
  </si>
  <si>
    <t>-0.0033448417</t>
  </si>
  <si>
    <t>0.044178899</t>
  </si>
  <si>
    <t>-0.0447275825</t>
  </si>
  <si>
    <t>-0.038848791</t>
  </si>
  <si>
    <t>0.016147550</t>
  </si>
  <si>
    <t>0.0032309641</t>
  </si>
  <si>
    <t>0.0091641858</t>
  </si>
  <si>
    <t>-0.003222153</t>
  </si>
  <si>
    <t>-0.0057861982</t>
  </si>
  <si>
    <t>0.012757415</t>
  </si>
  <si>
    <t>0.012963172</t>
  </si>
  <si>
    <t>0.0007038357</t>
  </si>
  <si>
    <t>-0.0022665444</t>
  </si>
  <si>
    <t>0.057139634</t>
  </si>
  <si>
    <t>0.0260551569</t>
  </si>
  <si>
    <t>-0.006623947</t>
  </si>
  <si>
    <t>0.013266366</t>
  </si>
  <si>
    <t>-0.0022723624</t>
  </si>
  <si>
    <t>0.0007143482</t>
  </si>
  <si>
    <t>0.050976005</t>
  </si>
  <si>
    <t>0.0508757740</t>
  </si>
  <si>
    <t>-0.005788720</t>
  </si>
  <si>
    <t>-0.021704007</t>
  </si>
  <si>
    <t>-0.0149123899</t>
  </si>
  <si>
    <t>0.0041475015</t>
  </si>
  <si>
    <t>-0.111491902</t>
  </si>
  <si>
    <t>-0.0008250948</t>
  </si>
  <si>
    <t>-0.050581967</t>
  </si>
  <si>
    <t>-0.021585951</t>
  </si>
  <si>
    <t>0.0030982789</t>
  </si>
  <si>
    <t>-0.0010227868</t>
  </si>
  <si>
    <t>-0.062867452</t>
  </si>
  <si>
    <t>-0.0086479965</t>
  </si>
  <si>
    <t>0.023795881</t>
  </si>
  <si>
    <t>0.016510255</t>
  </si>
  <si>
    <t>-0.0006203812</t>
  </si>
  <si>
    <t>0.0091695092</t>
  </si>
  <si>
    <t>-0.007838293</t>
  </si>
  <si>
    <t>-0.0223632307</t>
  </si>
  <si>
    <t>0.025790568</t>
  </si>
  <si>
    <t>0.001363733</t>
  </si>
  <si>
    <t>0.0118120865</t>
  </si>
  <si>
    <t>-0.0039782560</t>
  </si>
  <si>
    <t>0.009328756</t>
  </si>
  <si>
    <t>0.0054586881</t>
  </si>
  <si>
    <t>0.002380214</t>
  </si>
  <si>
    <t>0.001324297</t>
  </si>
  <si>
    <t>-0.0054984573</t>
  </si>
  <si>
    <t>-0.0093689508</t>
  </si>
  <si>
    <t>-0.070996039</t>
  </si>
  <si>
    <t>-0.0011871954</t>
  </si>
  <si>
    <t>0.005349838</t>
  </si>
  <si>
    <t>-0.019805067</t>
  </si>
  <si>
    <t>-0.0013495825</t>
  </si>
  <si>
    <t>-0.0018436568</t>
  </si>
  <si>
    <t>0.070741041</t>
  </si>
  <si>
    <t>-0.0731359220</t>
  </si>
  <si>
    <t>0.020187585</t>
  </si>
  <si>
    <t>-0.051500126</t>
  </si>
  <si>
    <t>0.0045661915</t>
  </si>
  <si>
    <t>0.0003678533</t>
  </si>
  <si>
    <t>0.0196990633</t>
  </si>
  <si>
    <t>8.280142e-02</t>
  </si>
  <si>
    <t>6.434691e-03</t>
  </si>
  <si>
    <t>0.0066822746</t>
  </si>
  <si>
    <t>8.530395e-04</t>
  </si>
  <si>
    <t>2.226110e-04</t>
  </si>
  <si>
    <t>0.0001315668</t>
  </si>
  <si>
    <t>5.274865e-02</t>
  </si>
  <si>
    <t>3.462576e-02</t>
  </si>
  <si>
    <t>0.0040497746</t>
  </si>
  <si>
    <t>2.193779e-04</t>
  </si>
  <si>
    <t>2.345576e-04</t>
  </si>
  <si>
    <t>0.1831675192</t>
  </si>
  <si>
    <t>3.735862e-03</t>
  </si>
  <si>
    <t>1.123857e-01</t>
  </si>
  <si>
    <t>0.0432465815</t>
  </si>
  <si>
    <t>3.272546e-02</t>
  </si>
  <si>
    <t>1.892240e-03</t>
  </si>
  <si>
    <t>0.0693761590</t>
  </si>
  <si>
    <t>5.400200e-05</t>
  </si>
  <si>
    <t>5.248288e-02</t>
  </si>
  <si>
    <t>0.0042497648</t>
  </si>
  <si>
    <t>2.955767e-04</t>
  </si>
  <si>
    <t>1.563810e-03</t>
  </si>
  <si>
    <t>0.0623448260</t>
  </si>
  <si>
    <t>4.658213e-01</t>
  </si>
  <si>
    <t>5.239778e-03</t>
  </si>
  <si>
    <t>0.0009741143</t>
  </si>
  <si>
    <t>4.938412e-02</t>
  </si>
  <si>
    <t>6.949721e-03</t>
  </si>
  <si>
    <t>0.0050650509</t>
  </si>
  <si>
    <t>7.209760e-02</t>
  </si>
  <si>
    <t>3.529714e-03</t>
  </si>
  <si>
    <t>0.0805407053</t>
  </si>
  <si>
    <t>5.707991e-02</t>
  </si>
  <si>
    <t>1.969997e-03</t>
  </si>
  <si>
    <t>0.0111942379</t>
  </si>
  <si>
    <t>2.088411e-01</t>
  </si>
  <si>
    <t>8.430947e-05</t>
  </si>
  <si>
    <t>0.1963170699</t>
  </si>
  <si>
    <t>2.379697e-02</t>
  </si>
  <si>
    <t>1.297335e-03</t>
  </si>
  <si>
    <t>0.1070283527</t>
  </si>
  <si>
    <t>1.097034e-01</t>
  </si>
  <si>
    <t>8.276069e-02</t>
  </si>
  <si>
    <t>0.0142982320</t>
  </si>
  <si>
    <t>5.724444e-04</t>
  </si>
  <si>
    <t>4.605288e-03</t>
  </si>
  <si>
    <t>0.0037553861</t>
  </si>
  <si>
    <t>1.211013e-02</t>
  </si>
  <si>
    <t>5.886914e-02</t>
  </si>
  <si>
    <t>0.0607833830</t>
  </si>
  <si>
    <t>1.791863e-04</t>
  </si>
  <si>
    <t>1.858193e-03</t>
  </si>
  <si>
    <t>0.1697724144</t>
  </si>
  <si>
    <t>3.530040e-02</t>
  </si>
  <si>
    <t>2.281529e-03</t>
  </si>
  <si>
    <t>0.0091515820</t>
  </si>
  <si>
    <t>2.685019e-04</t>
  </si>
  <si>
    <t>2.653458e-05</t>
  </si>
  <si>
    <t>0.2468815330</t>
  </si>
  <si>
    <t>2.459116e-01</t>
  </si>
  <si>
    <t>3.183626e-03</t>
  </si>
  <si>
    <t>0.0447545156</t>
  </si>
  <si>
    <t>2.112767e-02</t>
  </si>
  <si>
    <t>1.634294e-03</t>
  </si>
  <si>
    <t>0.3041324997</t>
  </si>
  <si>
    <t>1.665650e-05</t>
  </si>
  <si>
    <t>6.259903e-02</t>
  </si>
  <si>
    <t>0.0114003598</t>
  </si>
  <si>
    <t>2.348644e-04</t>
  </si>
  <si>
    <t>2.559448e-05</t>
  </si>
  <si>
    <t>0.5326157157</t>
  </si>
  <si>
    <t>1.007844e-02</t>
  </si>
  <si>
    <t>7.630726e-02</t>
  </si>
  <si>
    <t>0.0367341342</t>
  </si>
  <si>
    <t>5.186562e-05</t>
  </si>
  <si>
    <t>1.133064e-02</t>
  </si>
  <si>
    <t>0.0168419519</t>
  </si>
  <si>
    <t>1.370940e-01</t>
  </si>
  <si>
    <t>1.823355e-01</t>
  </si>
  <si>
    <t>0.0005098100</t>
  </si>
  <si>
    <t>3.824747e-02</t>
  </si>
  <si>
    <t>4.338453e-03</t>
  </si>
  <si>
    <t>0.0436992840</t>
  </si>
  <si>
    <t>1.496247e-02</t>
  </si>
  <si>
    <t>2.844846e-03</t>
  </si>
  <si>
    <t>0.0008806385</t>
  </si>
  <si>
    <t>1.518129e-02</t>
  </si>
  <si>
    <t>4.407667e-02</t>
  </si>
  <si>
    <t>0.0949270644</t>
  </si>
  <si>
    <t>2.654399e-05</t>
  </si>
  <si>
    <t>5.390178e-04</t>
  </si>
  <si>
    <t>0.0073871079</t>
  </si>
  <si>
    <t>3.430210e-05</t>
  </si>
  <si>
    <t>6.401503e-05</t>
  </si>
  <si>
    <t>0.1703242724</t>
  </si>
  <si>
    <t>1.820519e-01</t>
  </si>
  <si>
    <t>1.387083e-02</t>
  </si>
  <si>
    <t>0.0902714112</t>
  </si>
  <si>
    <t>7.096462e-04</t>
  </si>
  <si>
    <t>4.605566e-06</t>
  </si>
  <si>
    <t>0.528199278</t>
  </si>
  <si>
    <t>5.304741277</t>
  </si>
  <si>
    <t>0.780275215</t>
  </si>
  <si>
    <t>0.92538085</t>
  </si>
  <si>
    <t>0.66685886</t>
  </si>
  <si>
    <t>0.54909569</t>
  </si>
  <si>
    <t>0.003585916</t>
  </si>
  <si>
    <t>3.435098406</t>
  </si>
  <si>
    <t>4.267964500</t>
  </si>
  <si>
    <t>0.57007035</t>
  </si>
  <si>
    <t>0.17432477</t>
  </si>
  <si>
    <t>0.58810142</t>
  </si>
  <si>
    <t>2.734692530</t>
  </si>
  <si>
    <t>0.133267751</t>
  </si>
  <si>
    <t>7.588205683</t>
  </si>
  <si>
    <t>3.33469248</t>
  </si>
  <si>
    <t>14.24486419</t>
  </si>
  <si>
    <t>2.59887496</t>
  </si>
  <si>
    <t>4.285065891</t>
  </si>
  <si>
    <t>0.007969504</t>
  </si>
  <si>
    <t>14.659960565</t>
  </si>
  <si>
    <t>1.35567664</t>
  </si>
  <si>
    <t>0.53226750</t>
  </si>
  <si>
    <t>8.88546779</t>
  </si>
  <si>
    <t>0.500096138</t>
  </si>
  <si>
    <t>8.927844540</t>
  </si>
  <si>
    <t>0.190078865</t>
  </si>
  <si>
    <t>0.04035589</t>
  </si>
  <si>
    <t>11.54922910</t>
  </si>
  <si>
    <t>5.12825426</t>
  </si>
  <si>
    <t>0.067120293</t>
  </si>
  <si>
    <t>2.282785192</t>
  </si>
  <si>
    <t>0.211532682</t>
  </si>
  <si>
    <t>5.51225659</t>
  </si>
  <si>
    <t>22.05290921</t>
  </si>
  <si>
    <t>2.40151148</t>
  </si>
  <si>
    <t>0.286934085</t>
  </si>
  <si>
    <t>12.790210376</t>
  </si>
  <si>
    <t>0.009773089</t>
  </si>
  <si>
    <t>25.98900421</t>
  </si>
  <si>
    <t>17.78368885</t>
  </si>
  <si>
    <t>3.05906717</t>
  </si>
  <si>
    <t>5.487365920</t>
  </si>
  <si>
    <t>13.438760074</t>
  </si>
  <si>
    <t>19.189208608</t>
  </si>
  <si>
    <t>3.78609395</t>
  </si>
  <si>
    <t>0.85567920</t>
  </si>
  <si>
    <t>21.72056123</t>
  </si>
  <si>
    <t>0.027928733</t>
  </si>
  <si>
    <t>0.215188839</t>
  </si>
  <si>
    <t>1.979940776</t>
  </si>
  <si>
    <t>2.33466984</t>
  </si>
  <si>
    <t>0.03885207</t>
  </si>
  <si>
    <t>1.27126628</t>
  </si>
  <si>
    <t>9.932097020</t>
  </si>
  <si>
    <t>4.934323675</t>
  </si>
  <si>
    <t>0.603625559</t>
  </si>
  <si>
    <t>2.76511991</t>
  </si>
  <si>
    <t>0.45796660</t>
  </si>
  <si>
    <t>0.14280227</t>
  </si>
  <si>
    <t>6.484908496</t>
  </si>
  <si>
    <t>15.433645082</t>
  </si>
  <si>
    <t>0.378185803</t>
  </si>
  <si>
    <t>6.07150104</t>
  </si>
  <si>
    <t>16.18002952</t>
  </si>
  <si>
    <t>3.94906674</t>
  </si>
  <si>
    <t>32.711127073</t>
  </si>
  <si>
    <t>0.004280463</t>
  </si>
  <si>
    <t>30.448658815</t>
  </si>
  <si>
    <t>6.33279166</t>
  </si>
  <si>
    <t>0.73648252</t>
  </si>
  <si>
    <t>0.25323760</t>
  </si>
  <si>
    <t>11.073608399</t>
  </si>
  <si>
    <t>0.500659718</t>
  </si>
  <si>
    <t>7.174785476</t>
  </si>
  <si>
    <t>3.94447273</t>
  </si>
  <si>
    <t>0.03143890</t>
  </si>
  <si>
    <t>21.67098945</t>
  </si>
  <si>
    <t>0.160659942</t>
  </si>
  <si>
    <t>3.124697153</t>
  </si>
  <si>
    <t>7.866007611</t>
  </si>
  <si>
    <t>0.02511698</t>
  </si>
  <si>
    <t>10.63727630</t>
  </si>
  <si>
    <t>3.80714328</t>
  </si>
  <si>
    <t>0.248708837</t>
  </si>
  <si>
    <t>0.203467234</t>
  </si>
  <si>
    <t>0.073222327</t>
  </si>
  <si>
    <t>0.02588562</t>
  </si>
  <si>
    <t>2.51905704</t>
  </si>
  <si>
    <t>23.07675654</t>
  </si>
  <si>
    <t>14.013088633</t>
  </si>
  <si>
    <t>0.009362336</t>
  </si>
  <si>
    <t>0.359844434</t>
  </si>
  <si>
    <t>5.63199457</t>
  </si>
  <si>
    <t>0.14763084</t>
  </si>
  <si>
    <t>0.86931048</t>
  </si>
  <si>
    <t>11.454812817</t>
  </si>
  <si>
    <t>29.253698381</t>
  </si>
  <si>
    <t>4.218729991</t>
  </si>
  <si>
    <t>31.35491669</t>
  </si>
  <si>
    <t>1.39144453</t>
  </si>
  <si>
    <t>0.02849335</t>
  </si>
  <si>
    <t>POLITYCY</t>
  </si>
  <si>
    <t>-0.076495975</t>
  </si>
  <si>
    <t>0.01422704</t>
  </si>
  <si>
    <t>0.008741341</t>
  </si>
  <si>
    <t>0.008481786</t>
  </si>
  <si>
    <t>-0.010938895</t>
  </si>
  <si>
    <t>0.0042011731</t>
  </si>
  <si>
    <t>-0.010121932</t>
  </si>
  <si>
    <t>-0.03200441</t>
  </si>
  <si>
    <t>0.004441043</t>
  </si>
  <si>
    <t>-0.036384047</t>
  </si>
  <si>
    <t>0.008587418</t>
  </si>
  <si>
    <t>0.0001707904</t>
  </si>
  <si>
    <t>0.010525209</t>
  </si>
  <si>
    <t>0.02628464</t>
  </si>
  <si>
    <t>-0.005092438</t>
  </si>
  <si>
    <t>0.032229856</t>
  </si>
  <si>
    <t>0.011928409</t>
  </si>
  <si>
    <t>-0.0045596361</t>
  </si>
  <si>
    <t>0.117039537</t>
  </si>
  <si>
    <t>0.02937765</t>
  </si>
  <si>
    <t>0.009391065</t>
  </si>
  <si>
    <t>-0.015047283</t>
  </si>
  <si>
    <t>-0.010851011</t>
  </si>
  <si>
    <t>-0.0007504779</t>
  </si>
  <si>
    <t>-0.010208753</t>
  </si>
  <si>
    <t>-0.01664275</t>
  </si>
  <si>
    <t>-0.024923918</t>
  </si>
  <si>
    <t>-0.004468456</t>
  </si>
  <si>
    <t>0.006815988</t>
  </si>
  <si>
    <t>-0.0039922517</t>
  </si>
  <si>
    <t>-0.005146055</t>
  </si>
  <si>
    <t>-0.05052224</t>
  </si>
  <si>
    <t>0.019918447</t>
  </si>
  <si>
    <t>0.015262109</t>
  </si>
  <si>
    <t>-0.010761175</t>
  </si>
  <si>
    <t>-0.0082958478</t>
  </si>
  <si>
    <t>0.051731864</t>
  </si>
  <si>
    <t>-0.04744749</t>
  </si>
  <si>
    <t>-0.006332905</t>
  </si>
  <si>
    <t>0.028209576</t>
  </si>
  <si>
    <t>0.003051501</t>
  </si>
  <si>
    <t>0.0116913689</t>
  </si>
  <si>
    <t>-0.012812215</t>
  </si>
  <si>
    <t>0.01325695</t>
  </si>
  <si>
    <t>-0.051651454</t>
  </si>
  <si>
    <t>-0.008786696</t>
  </si>
  <si>
    <t>-0.007434598</t>
  </si>
  <si>
    <t>-0.0002244453</t>
  </si>
  <si>
    <t>-0.014714131</t>
  </si>
  <si>
    <t>0.02661220</t>
  </si>
  <si>
    <t>0.021277042</t>
  </si>
  <si>
    <t>-0.006821545</t>
  </si>
  <si>
    <t>0.004039231</t>
  </si>
  <si>
    <t>0.0015979457</t>
  </si>
  <si>
    <t>0.473538299</t>
  </si>
  <si>
    <t>0.016379740</t>
  </si>
  <si>
    <t>0.006183496</t>
  </si>
  <si>
    <t>0.0058217365</t>
  </si>
  <si>
    <t>0.0096833319</t>
  </si>
  <si>
    <t>1.428299e-03</t>
  </si>
  <si>
    <t>0.008816274</t>
  </si>
  <si>
    <t>0.088140962</t>
  </si>
  <si>
    <t>0.001697181</t>
  </si>
  <si>
    <t>0.1139148262</t>
  </si>
  <si>
    <t>0.0063457565</t>
  </si>
  <si>
    <t>2.510066e-06</t>
  </si>
  <si>
    <t>0.011830013</t>
  </si>
  <si>
    <t>0.073778139</t>
  </si>
  <si>
    <t>0.002769334</t>
  </si>
  <si>
    <t>0.1109278278</t>
  </si>
  <si>
    <t>0.0151945831</t>
  </si>
  <si>
    <t>2.220159e-03</t>
  </si>
  <si>
    <t>0.765351233</t>
  </si>
  <si>
    <t>0.048220292</t>
  </si>
  <si>
    <t>0.004927485</t>
  </si>
  <si>
    <t>0.0126506194</t>
  </si>
  <si>
    <t>0.0065786387</t>
  </si>
  <si>
    <t>3.146817e-05</t>
  </si>
  <si>
    <t>0.001408410</t>
  </si>
  <si>
    <t>0.003743123</t>
  </si>
  <si>
    <t>0.008394917</t>
  </si>
  <si>
    <t>0.0002698353</t>
  </si>
  <si>
    <t>0.0006278291</t>
  </si>
  <si>
    <t>2.153871e-04</t>
  </si>
  <si>
    <t>0.004642964</t>
  </si>
  <si>
    <t>0.447519234</t>
  </si>
  <si>
    <t>0.069559660</t>
  </si>
  <si>
    <t>0.0408390494</t>
  </si>
  <si>
    <t>0.0203032646</t>
  </si>
  <si>
    <t>1.206613e-02</t>
  </si>
  <si>
    <t>0.423733593</t>
  </si>
  <si>
    <t>0.356453639</t>
  </si>
  <si>
    <t>0.006350129</t>
  </si>
  <si>
    <t>0.1259997747</t>
  </si>
  <si>
    <t>0.0014743605</t>
  </si>
  <si>
    <t>2.164250e-02</t>
  </si>
  <si>
    <t>0.014092478</t>
  </si>
  <si>
    <t>0.015087809</t>
  </si>
  <si>
    <t>0.229036159</t>
  </si>
  <si>
    <t>0.0066281162</t>
  </si>
  <si>
    <t>0.0047451934</t>
  </si>
  <si>
    <t>4.324738e-06</t>
  </si>
  <si>
    <t>0.030993063</t>
  </si>
  <si>
    <t>0.101381102</t>
  </si>
  <si>
    <t>0.064806383</t>
  </si>
  <si>
    <t>0.0066613277</t>
  </si>
  <si>
    <t>0.0023355687</t>
  </si>
  <si>
    <t>3.655269e-04</t>
  </si>
  <si>
    <t>Dim.1</t>
  </si>
  <si>
    <t>Dim.2</t>
  </si>
  <si>
    <t>Dim.3</t>
  </si>
  <si>
    <t>Dim.4</t>
  </si>
  <si>
    <t>Dim.5</t>
  </si>
  <si>
    <t>Dim.6</t>
  </si>
  <si>
    <t>Dim.7</t>
  </si>
  <si>
    <t>Dim.8</t>
  </si>
  <si>
    <t>30.8776179</t>
  </si>
  <si>
    <t>2.551937</t>
  </si>
  <si>
    <t>1.8234366</t>
  </si>
  <si>
    <t>1.9605828</t>
  </si>
  <si>
    <t>18.408824</t>
  </si>
  <si>
    <t>8.56755458</t>
  </si>
  <si>
    <t>0.5918421</t>
  </si>
  <si>
    <t>14.137505</t>
  </si>
  <si>
    <t>0.5152487</t>
  </si>
  <si>
    <t>39.4952612</t>
  </si>
  <si>
    <t>12.419861</t>
  </si>
  <si>
    <t>0.01550083</t>
  </si>
  <si>
    <t>0.6029181</t>
  </si>
  <si>
    <t>8.984109</t>
  </si>
  <si>
    <t>0.6382876</t>
  </si>
  <si>
    <t>29.1983032</t>
  </si>
  <si>
    <t>22.577429</t>
  </si>
  <si>
    <t>10.40893765</t>
  </si>
  <si>
    <t>55.0442045</t>
  </si>
  <si>
    <t>8.286189</t>
  </si>
  <si>
    <t>1.6026696</t>
  </si>
  <si>
    <t>4.6990122</t>
  </si>
  <si>
    <t>13.794292</t>
  </si>
  <si>
    <t>0.20819552</t>
  </si>
  <si>
    <t>0.3619684</t>
  </si>
  <si>
    <t>2.298528</t>
  </si>
  <si>
    <t>9.7572134</t>
  </si>
  <si>
    <t>0.3581658</t>
  </si>
  <si>
    <t>4.704305</t>
  </si>
  <si>
    <t>5.09225604</t>
  </si>
  <si>
    <t>0.1177873</t>
  </si>
  <si>
    <t>27.126211</t>
  </si>
  <si>
    <t>7.9804717</t>
  </si>
  <si>
    <t>5.3508505</t>
  </si>
  <si>
    <t>15.016947</t>
  </si>
  <si>
    <t>28.15920641</t>
  </si>
  <si>
    <t>9.6676766</t>
  </si>
  <si>
    <t>19.431506</t>
  </si>
  <si>
    <t>0.6552087</t>
  </si>
  <si>
    <t>14.8471451</t>
  </si>
  <si>
    <t>0.980721</t>
  </si>
  <si>
    <t>45.42403524</t>
  </si>
  <si>
    <t>0.7987600</t>
  </si>
  <si>
    <t>2.043287</t>
  </si>
  <si>
    <t>58.7084859</t>
  </si>
  <si>
    <t>1.9402738</t>
  </si>
  <si>
    <t>7.841433</t>
  </si>
  <si>
    <t>0.02254955</t>
  </si>
  <si>
    <t>1.9372250</t>
  </si>
  <si>
    <t>15.140729</t>
  </si>
  <si>
    <t>18.3189778</t>
  </si>
  <si>
    <t>2.1504053</t>
  </si>
  <si>
    <t>4.256188</t>
  </si>
  <si>
    <t>2.10176418</t>
  </si>
</sst>
</file>

<file path=xl/styles.xml><?xml version="1.0" encoding="utf-8"?>
<styleSheet xmlns="http://schemas.openxmlformats.org/spreadsheetml/2006/main">
  <numFmts count="1">
    <numFmt numFmtId="168" formatCode="0.00000"/>
  </numFmts>
  <fonts count="4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color rgb="FF000000"/>
      <name val="Lucida Console"/>
      <family val="3"/>
      <charset val="238"/>
    </font>
    <font>
      <sz val="11"/>
      <color rgb="FF00000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4" borderId="0" xfId="0" applyFont="1" applyFill="1"/>
    <xf numFmtId="0" fontId="0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168" fontId="0" fillId="0" borderId="1" xfId="0" applyNumberFormat="1" applyFon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168" fontId="0" fillId="0" borderId="0" xfId="0" applyNumberFormat="1"/>
    <xf numFmtId="168" fontId="0" fillId="5" borderId="1" xfId="0" applyNumberFormat="1" applyFont="1" applyFill="1" applyBorder="1" applyAlignment="1">
      <alignment horizontal="center"/>
    </xf>
    <xf numFmtId="168" fontId="3" fillId="5" borderId="1" xfId="0" applyNumberFormat="1" applyFont="1" applyFill="1" applyBorder="1" applyAlignment="1">
      <alignment horizontal="center"/>
    </xf>
    <xf numFmtId="168" fontId="3" fillId="0" borderId="3" xfId="0" applyNumberFormat="1" applyFont="1" applyBorder="1" applyAlignment="1">
      <alignment horizontal="center"/>
    </xf>
    <xf numFmtId="168" fontId="0" fillId="0" borderId="3" xfId="0" applyNumberFormat="1" applyFont="1" applyBorder="1" applyAlignment="1">
      <alignment horizontal="center"/>
    </xf>
    <xf numFmtId="168" fontId="0" fillId="0" borderId="3" xfId="0" applyNumberFormat="1" applyBorder="1" applyAlignment="1">
      <alignment horizontal="center"/>
    </xf>
    <xf numFmtId="168" fontId="0" fillId="0" borderId="5" xfId="0" applyNumberFormat="1" applyFont="1" applyBorder="1" applyAlignment="1">
      <alignment horizontal="center"/>
    </xf>
    <xf numFmtId="168" fontId="0" fillId="0" borderId="4" xfId="0" applyNumberFormat="1" applyFont="1" applyBorder="1" applyAlignment="1">
      <alignment horizontal="center"/>
    </xf>
    <xf numFmtId="168" fontId="0" fillId="0" borderId="6" xfId="0" applyNumberFormat="1" applyFont="1" applyBorder="1" applyAlignment="1">
      <alignment horizontal="center"/>
    </xf>
    <xf numFmtId="168" fontId="0" fillId="5" borderId="6" xfId="0" applyNumberFormat="1" applyFont="1" applyFill="1" applyBorder="1" applyAlignment="1">
      <alignment horizontal="center"/>
    </xf>
    <xf numFmtId="168" fontId="3" fillId="5" borderId="6" xfId="0" applyNumberFormat="1" applyFont="1" applyFill="1" applyBorder="1" applyAlignment="1">
      <alignment horizontal="center"/>
    </xf>
    <xf numFmtId="168" fontId="0" fillId="0" borderId="7" xfId="0" applyNumberFormat="1" applyFont="1" applyBorder="1" applyAlignment="1">
      <alignment horizontal="center"/>
    </xf>
    <xf numFmtId="168" fontId="0" fillId="5" borderId="4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1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selection activeCell="B1" sqref="B1:J1"/>
    </sheetView>
  </sheetViews>
  <sheetFormatPr defaultRowHeight="15"/>
  <cols>
    <col min="1" max="1" width="14.5703125" customWidth="1"/>
    <col min="2" max="2" width="8.7109375" customWidth="1"/>
    <col min="3" max="3" width="11.42578125" customWidth="1"/>
    <col min="6" max="6" width="9.42578125" customWidth="1"/>
    <col min="7" max="7" width="10.85546875" style="1" customWidth="1"/>
    <col min="9" max="9" width="9.42578125" customWidth="1"/>
    <col min="10" max="10" width="9.7109375" customWidth="1"/>
  </cols>
  <sheetData>
    <row r="1" spans="1:10" ht="45">
      <c r="A1" s="2"/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6" t="s">
        <v>24</v>
      </c>
      <c r="H1" s="6" t="s">
        <v>25</v>
      </c>
      <c r="I1" s="6" t="s">
        <v>26</v>
      </c>
      <c r="J1" s="6" t="s">
        <v>27</v>
      </c>
    </row>
    <row r="2" spans="1:10">
      <c r="A2" s="7" t="s">
        <v>0</v>
      </c>
      <c r="B2" s="4">
        <v>39.428571428571431</v>
      </c>
      <c r="C2" s="4">
        <v>44.646153846153844</v>
      </c>
      <c r="D2" s="4">
        <v>46.685714285714283</v>
      </c>
      <c r="E2" s="4">
        <v>34.323076923076925</v>
      </c>
      <c r="F2" s="4">
        <v>27.938461538461539</v>
      </c>
      <c r="G2" s="5">
        <v>40.582417582417584</v>
      </c>
      <c r="H2" s="4">
        <v>32.123076923076923</v>
      </c>
      <c r="I2" s="4">
        <v>46.424175824175826</v>
      </c>
      <c r="J2" s="4">
        <v>90.973626373626374</v>
      </c>
    </row>
    <row r="3" spans="1:10">
      <c r="A3" s="7" t="s">
        <v>1</v>
      </c>
      <c r="B3" s="4">
        <v>39.523076923076921</v>
      </c>
      <c r="C3" s="4">
        <v>44.325274725274724</v>
      </c>
      <c r="D3" s="4">
        <v>42.824175824175825</v>
      </c>
      <c r="E3" s="4">
        <v>32.918681318681315</v>
      </c>
      <c r="F3" s="4">
        <v>28.912087912087912</v>
      </c>
      <c r="G3" s="5">
        <v>39.707692307692305</v>
      </c>
      <c r="H3" s="4">
        <v>30.716483516483517</v>
      </c>
      <c r="I3" s="4">
        <v>43.945054945054942</v>
      </c>
      <c r="J3" s="4">
        <v>90.771428571428572</v>
      </c>
    </row>
    <row r="4" spans="1:10">
      <c r="A4" s="7" t="s">
        <v>2</v>
      </c>
      <c r="B4" s="4">
        <v>54.591208791208793</v>
      </c>
      <c r="C4" s="4">
        <v>53.101098901098901</v>
      </c>
      <c r="D4" s="4">
        <v>46.3978021978022</v>
      </c>
      <c r="E4" s="4">
        <v>37.525274725274727</v>
      </c>
      <c r="F4" s="4">
        <v>37.874725274725272</v>
      </c>
      <c r="G4" s="5">
        <v>42.734065934065931</v>
      </c>
      <c r="H4" s="4">
        <v>32.375824175824178</v>
      </c>
      <c r="I4" s="4">
        <v>43.035164835164835</v>
      </c>
      <c r="J4" s="4">
        <v>90.78901098901099</v>
      </c>
    </row>
    <row r="5" spans="1:10">
      <c r="A5" s="7" t="s">
        <v>3</v>
      </c>
      <c r="B5" s="4">
        <v>45.437362637362639</v>
      </c>
      <c r="C5" s="4">
        <v>46.556043956043958</v>
      </c>
      <c r="D5" s="4">
        <v>45.052747252747253</v>
      </c>
      <c r="E5" s="4">
        <v>42.865934065934063</v>
      </c>
      <c r="F5" s="4">
        <v>47.870329670329667</v>
      </c>
      <c r="G5" s="5">
        <v>40.556043956043958</v>
      </c>
      <c r="H5" s="4">
        <v>36.103296703296706</v>
      </c>
      <c r="I5" s="4">
        <v>46.18021978021978</v>
      </c>
      <c r="J5" s="4">
        <v>88.729670329670327</v>
      </c>
    </row>
    <row r="6" spans="1:10">
      <c r="A6" s="7" t="s">
        <v>4</v>
      </c>
      <c r="B6" s="4">
        <v>51.947252747252747</v>
      </c>
      <c r="C6" s="4">
        <v>54.964835164835165</v>
      </c>
      <c r="D6" s="4">
        <v>55.553846153846152</v>
      </c>
      <c r="E6" s="4">
        <v>41.606593406593404</v>
      </c>
      <c r="F6" s="4">
        <v>33.498901098901101</v>
      </c>
      <c r="G6" s="5">
        <v>37.356043956043955</v>
      </c>
      <c r="H6" s="4">
        <v>33</v>
      </c>
      <c r="I6" s="4">
        <v>45.226373626373629</v>
      </c>
      <c r="J6" s="4">
        <v>84.215384615384622</v>
      </c>
    </row>
    <row r="7" spans="1:10">
      <c r="A7" s="7" t="s">
        <v>5</v>
      </c>
      <c r="B7" s="4">
        <v>55.050549450549454</v>
      </c>
      <c r="C7" s="4">
        <v>61.426373626373625</v>
      </c>
      <c r="D7" s="4">
        <v>63.549450549450547</v>
      </c>
      <c r="E7" s="4">
        <v>41.465934065934064</v>
      </c>
      <c r="F7" s="4">
        <v>30.169230769230769</v>
      </c>
      <c r="G7" s="5">
        <v>44.112087912087915</v>
      </c>
      <c r="H7" s="4">
        <v>36.6</v>
      </c>
      <c r="I7" s="4">
        <v>49.6</v>
      </c>
      <c r="J7" s="4">
        <v>88.769230769230774</v>
      </c>
    </row>
    <row r="8" spans="1:10">
      <c r="A8" s="7" t="s">
        <v>6</v>
      </c>
      <c r="B8" s="4">
        <v>56.424175824175826</v>
      </c>
      <c r="C8" s="4">
        <v>62.465934065934064</v>
      </c>
      <c r="D8" s="4">
        <v>61.263736263736263</v>
      </c>
      <c r="E8" s="4">
        <v>38.151648351648355</v>
      </c>
      <c r="F8" s="4">
        <v>29.292307692307691</v>
      </c>
      <c r="G8" s="5">
        <v>53.727472527472528</v>
      </c>
      <c r="H8" s="4">
        <v>41.71868131868132</v>
      </c>
      <c r="I8" s="4">
        <v>53.362637362637365</v>
      </c>
      <c r="J8" s="4">
        <v>87.15384615384616</v>
      </c>
    </row>
    <row r="9" spans="1:10">
      <c r="A9" s="7" t="s">
        <v>7</v>
      </c>
      <c r="B9" s="4">
        <v>46.676923076923075</v>
      </c>
      <c r="C9" s="4">
        <v>50.740659340659342</v>
      </c>
      <c r="D9" s="4">
        <v>48.301098901098904</v>
      </c>
      <c r="E9" s="4">
        <v>41.881318681318682</v>
      </c>
      <c r="F9" s="4">
        <v>47.39120879120879</v>
      </c>
      <c r="G9" s="5">
        <v>45.015384615384619</v>
      </c>
      <c r="H9" s="4">
        <v>42.931868131868129</v>
      </c>
      <c r="I9" s="4">
        <v>47.654945054945053</v>
      </c>
      <c r="J9" s="4">
        <v>86.806593406593407</v>
      </c>
    </row>
    <row r="10" spans="1:10">
      <c r="A10" s="7" t="s">
        <v>8</v>
      </c>
      <c r="B10" s="4">
        <v>48.193406593406593</v>
      </c>
      <c r="C10" s="4">
        <v>51.114285714285714</v>
      </c>
      <c r="D10" s="4">
        <v>49.861538461538458</v>
      </c>
      <c r="E10" s="4">
        <v>36.6021978021978</v>
      </c>
      <c r="F10" s="4">
        <v>34.975824175824172</v>
      </c>
      <c r="G10" s="5">
        <v>44.885714285714286</v>
      </c>
      <c r="H10" s="4">
        <v>35.547252747252749</v>
      </c>
      <c r="I10" s="4">
        <v>45.472527472527474</v>
      </c>
      <c r="J10" s="4">
        <v>90.991208791208791</v>
      </c>
    </row>
    <row r="11" spans="1:10">
      <c r="A11" s="7" t="s">
        <v>9</v>
      </c>
      <c r="B11" s="4">
        <v>61.312087912087911</v>
      </c>
      <c r="C11" s="4">
        <v>66.971428571428575</v>
      </c>
      <c r="D11" s="4">
        <v>69.525274725274727</v>
      </c>
      <c r="E11" s="4">
        <v>53.850549450549451</v>
      </c>
      <c r="F11" s="4">
        <v>32.553846153846152</v>
      </c>
      <c r="G11" s="5">
        <v>42.42197802197802</v>
      </c>
      <c r="H11" s="4">
        <v>38.934065934065934</v>
      </c>
      <c r="I11" s="4">
        <v>49.309890109890112</v>
      </c>
      <c r="J11" s="4">
        <v>80.032967032967036</v>
      </c>
    </row>
    <row r="12" spans="1:10">
      <c r="A12" s="7" t="s">
        <v>10</v>
      </c>
      <c r="B12" s="4">
        <v>42.784615384615385</v>
      </c>
      <c r="C12" s="4">
        <v>51.5</v>
      </c>
      <c r="D12" s="4">
        <v>50.206593406593406</v>
      </c>
      <c r="E12" s="4">
        <v>41.778021978021975</v>
      </c>
      <c r="F12" s="4">
        <v>23.131868131868131</v>
      </c>
      <c r="G12" s="5">
        <v>36.64835164835165</v>
      </c>
      <c r="H12" s="4">
        <v>30.542857142857144</v>
      </c>
      <c r="I12" s="4">
        <v>48.054945054945058</v>
      </c>
      <c r="J12" s="4">
        <v>81.360439560439559</v>
      </c>
    </row>
    <row r="13" spans="1:10">
      <c r="A13" s="7" t="s">
        <v>11</v>
      </c>
      <c r="B13" s="4">
        <v>53.536263736263734</v>
      </c>
      <c r="C13" s="4">
        <v>64.090109890109886</v>
      </c>
      <c r="D13" s="4">
        <v>54.586813186813188</v>
      </c>
      <c r="E13" s="4">
        <v>24.105494505494505</v>
      </c>
      <c r="F13" s="4">
        <v>19.652747252747254</v>
      </c>
      <c r="G13" s="5">
        <v>42.010989010989015</v>
      </c>
      <c r="H13" s="4">
        <v>28.991208791208791</v>
      </c>
      <c r="I13" s="4">
        <v>59.553846153846152</v>
      </c>
      <c r="J13" s="4">
        <v>81.597802197802196</v>
      </c>
    </row>
    <row r="14" spans="1:10">
      <c r="A14" s="7" t="s">
        <v>12</v>
      </c>
      <c r="B14" s="4">
        <v>59.773626373626371</v>
      </c>
      <c r="C14" s="4">
        <v>60.681318681318679</v>
      </c>
      <c r="D14" s="4">
        <v>56.375824175824178</v>
      </c>
      <c r="E14" s="4">
        <v>33.239560439560442</v>
      </c>
      <c r="F14" s="4">
        <v>29.213186813186812</v>
      </c>
      <c r="G14" s="5">
        <v>46.002197802197806</v>
      </c>
      <c r="H14" s="4">
        <v>34.909890109890107</v>
      </c>
      <c r="I14" s="4">
        <v>47.057142857142857</v>
      </c>
      <c r="J14" s="4">
        <v>88.573626373626368</v>
      </c>
    </row>
    <row r="15" spans="1:10">
      <c r="A15" s="7" t="s">
        <v>13</v>
      </c>
      <c r="B15" s="4">
        <v>47.865934065934063</v>
      </c>
      <c r="C15" s="4">
        <v>52.67252747252747</v>
      </c>
      <c r="D15" s="4">
        <v>47.646153846153844</v>
      </c>
      <c r="E15" s="4">
        <v>35.505494505494504</v>
      </c>
      <c r="F15" s="4">
        <v>36.18681318681319</v>
      </c>
      <c r="G15" s="5">
        <v>43.553846153846152</v>
      </c>
      <c r="H15" s="4">
        <v>34.340659340659343</v>
      </c>
      <c r="I15" s="4">
        <v>40.676923076923075</v>
      </c>
      <c r="J15" s="4">
        <v>86.980219780219784</v>
      </c>
    </row>
    <row r="16" spans="1:10">
      <c r="A16" s="7" t="s">
        <v>14</v>
      </c>
      <c r="B16" s="4">
        <v>54.092307692307692</v>
      </c>
      <c r="C16" s="4">
        <v>60.707692307692305</v>
      </c>
      <c r="D16" s="4">
        <v>58.301098901098904</v>
      </c>
      <c r="E16" s="4">
        <v>42.553846153846152</v>
      </c>
      <c r="F16" s="4">
        <v>31.512087912087914</v>
      </c>
      <c r="G16" s="5">
        <v>45.540659340659339</v>
      </c>
      <c r="H16" s="4">
        <v>35.465934065934064</v>
      </c>
      <c r="I16" s="4">
        <v>49.74945054945055</v>
      </c>
      <c r="J16" s="4">
        <v>87.026373626373626</v>
      </c>
    </row>
    <row r="17" spans="1:10">
      <c r="A17" s="7" t="s">
        <v>15</v>
      </c>
      <c r="B17" s="4">
        <v>66.169230769230765</v>
      </c>
      <c r="C17" s="4">
        <v>53.059340659340663</v>
      </c>
      <c r="D17" s="4">
        <v>45.437362637362639</v>
      </c>
      <c r="E17" s="4">
        <v>38.698901098901096</v>
      </c>
      <c r="F17" s="4">
        <v>56.632967032967031</v>
      </c>
      <c r="G17" s="5">
        <v>38.654945054945053</v>
      </c>
      <c r="H17" s="4">
        <v>31.004395604395604</v>
      </c>
      <c r="I17" s="4">
        <v>36.536263736263734</v>
      </c>
      <c r="J17" s="4">
        <v>86.107692307692304</v>
      </c>
    </row>
    <row r="18" spans="1:10">
      <c r="A18" s="7" t="s">
        <v>16</v>
      </c>
      <c r="B18" s="4">
        <v>35.670329670329672</v>
      </c>
      <c r="C18" s="4">
        <v>60.78901098901099</v>
      </c>
      <c r="D18" s="4">
        <v>43.870329670329667</v>
      </c>
      <c r="E18" s="4">
        <v>36.67252747252747</v>
      </c>
      <c r="F18" s="4">
        <v>18.243956043956043</v>
      </c>
      <c r="G18" s="5">
        <v>40.112087912087915</v>
      </c>
      <c r="H18" s="4">
        <v>32.410989010989013</v>
      </c>
      <c r="I18" s="4">
        <v>39.804395604395602</v>
      </c>
      <c r="J18" s="4">
        <v>64.824175824175825</v>
      </c>
    </row>
  </sheetData>
  <conditionalFormatting sqref="B2:J1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N19"/>
  <sheetViews>
    <sheetView workbookViewId="0">
      <selection activeCell="D20" sqref="D20"/>
    </sheetView>
  </sheetViews>
  <sheetFormatPr defaultRowHeight="15"/>
  <cols>
    <col min="1" max="1" width="6.42578125" customWidth="1"/>
    <col min="2" max="2" width="15" customWidth="1"/>
    <col min="4" max="4" width="13.85546875" customWidth="1"/>
    <col min="5" max="5" width="13" customWidth="1"/>
    <col min="6" max="6" width="12" customWidth="1"/>
    <col min="7" max="7" width="15.85546875" customWidth="1"/>
    <col min="12" max="12" width="16.140625" customWidth="1"/>
    <col min="13" max="13" width="26.5703125" customWidth="1"/>
    <col min="14" max="14" width="22.28515625" customWidth="1"/>
  </cols>
  <sheetData>
    <row r="2" spans="1:14" ht="34.5" customHeight="1" thickBot="1">
      <c r="B2" s="2"/>
      <c r="C2" s="3" t="s">
        <v>28</v>
      </c>
      <c r="D2" s="3" t="s">
        <v>29</v>
      </c>
      <c r="E2" s="8" t="s">
        <v>30</v>
      </c>
      <c r="F2" s="3" t="s">
        <v>31</v>
      </c>
      <c r="G2" s="8" t="s">
        <v>32</v>
      </c>
      <c r="L2" s="13" t="s">
        <v>32</v>
      </c>
      <c r="M2" s="14" t="s">
        <v>34</v>
      </c>
      <c r="N2" s="14" t="s">
        <v>33</v>
      </c>
    </row>
    <row r="3" spans="1:14" ht="41.25" customHeight="1">
      <c r="B3" s="6" t="s">
        <v>19</v>
      </c>
      <c r="C3" s="9">
        <f>AVERAGE(Arkusz1!B2:B18)</f>
        <v>50.49864253393666</v>
      </c>
      <c r="D3" s="9">
        <v>35.670329670329672</v>
      </c>
      <c r="E3" s="10" t="s">
        <v>16</v>
      </c>
      <c r="F3" s="9">
        <v>66.169230769230765</v>
      </c>
      <c r="G3" s="10" t="s">
        <v>15</v>
      </c>
      <c r="L3" s="11" t="s">
        <v>0</v>
      </c>
      <c r="M3" s="15" t="s">
        <v>23</v>
      </c>
      <c r="N3" s="12" t="s">
        <v>21</v>
      </c>
    </row>
    <row r="4" spans="1:14" ht="46.5" customHeight="1">
      <c r="B4" s="6" t="s">
        <v>20</v>
      </c>
      <c r="C4" s="9">
        <f>AVERAGE(Arkusz1!C2:C18)</f>
        <v>55.283063994828709</v>
      </c>
      <c r="D4" s="9">
        <v>44.325274725274724</v>
      </c>
      <c r="E4" s="10" t="s">
        <v>1</v>
      </c>
      <c r="F4" s="9">
        <v>66.971428571428575</v>
      </c>
      <c r="G4" s="10" t="s">
        <v>9</v>
      </c>
      <c r="L4" s="10" t="s">
        <v>1</v>
      </c>
      <c r="M4" s="16" t="s">
        <v>23</v>
      </c>
      <c r="N4" s="17" t="s">
        <v>20</v>
      </c>
    </row>
    <row r="5" spans="1:14" ht="30">
      <c r="B5" s="6" t="s">
        <v>21</v>
      </c>
      <c r="C5" s="9">
        <f>AVERAGE(Arkusz1!D2:D18)</f>
        <v>52.084680025856493</v>
      </c>
      <c r="D5" s="9">
        <v>42.824175824175825</v>
      </c>
      <c r="E5" s="10" t="s">
        <v>1</v>
      </c>
      <c r="F5" s="9">
        <v>69.525274725274727</v>
      </c>
      <c r="G5" s="10" t="s">
        <v>9</v>
      </c>
      <c r="L5" s="10" t="s">
        <v>2</v>
      </c>
      <c r="M5" s="6" t="s">
        <v>25</v>
      </c>
      <c r="N5" s="6" t="s">
        <v>19</v>
      </c>
    </row>
    <row r="6" spans="1:14" ht="30">
      <c r="B6" s="6" t="s">
        <v>22</v>
      </c>
      <c r="C6" s="9">
        <f>AVERAGE(Arkusz1!E2:E18)</f>
        <v>38.455591467356172</v>
      </c>
      <c r="D6" s="9">
        <v>24.105494505494505</v>
      </c>
      <c r="E6" s="10" t="s">
        <v>11</v>
      </c>
      <c r="F6" s="9">
        <v>53.850549450549451</v>
      </c>
      <c r="G6" s="10" t="s">
        <v>9</v>
      </c>
      <c r="L6" s="10" t="s">
        <v>3</v>
      </c>
      <c r="M6" s="6" t="s">
        <v>25</v>
      </c>
      <c r="N6" s="6" t="s">
        <v>23</v>
      </c>
    </row>
    <row r="7" spans="1:14" ht="30">
      <c r="B7" s="6" t="s">
        <v>23</v>
      </c>
      <c r="C7" s="9">
        <f>AVERAGE(Arkusz1!F2:F18)</f>
        <v>33.238267614738206</v>
      </c>
      <c r="D7" s="9">
        <v>18.243956043956043</v>
      </c>
      <c r="E7" s="10" t="s">
        <v>16</v>
      </c>
      <c r="F7" s="9">
        <v>56.632967032967031</v>
      </c>
      <c r="G7" s="10" t="s">
        <v>15</v>
      </c>
      <c r="L7" s="10" t="s">
        <v>4</v>
      </c>
      <c r="M7" s="6" t="s">
        <v>25</v>
      </c>
      <c r="N7" s="6" t="s">
        <v>21</v>
      </c>
    </row>
    <row r="8" spans="1:14" ht="45">
      <c r="B8" s="6" t="s">
        <v>24</v>
      </c>
      <c r="C8" s="9">
        <f>AVERAGE(Arkusz1!G2:G18)</f>
        <v>42.565998707175176</v>
      </c>
      <c r="D8" s="9">
        <v>36.64835164835165</v>
      </c>
      <c r="E8" s="10" t="s">
        <v>10</v>
      </c>
      <c r="F8" s="9">
        <v>53.727472527472528</v>
      </c>
      <c r="G8" s="10" t="s">
        <v>6</v>
      </c>
      <c r="L8" s="10" t="s">
        <v>5</v>
      </c>
      <c r="M8" s="16" t="s">
        <v>23</v>
      </c>
      <c r="N8" s="17" t="s">
        <v>20</v>
      </c>
    </row>
    <row r="9" spans="1:14">
      <c r="B9" s="6" t="s">
        <v>25</v>
      </c>
      <c r="C9" s="9">
        <f>AVERAGE(Arkusz1!H2:H18)</f>
        <v>34.571557853910804</v>
      </c>
      <c r="D9" s="9">
        <v>28.991208791208791</v>
      </c>
      <c r="E9" s="10" t="s">
        <v>11</v>
      </c>
      <c r="F9" s="9">
        <v>42.931868131868129</v>
      </c>
      <c r="G9" s="10" t="s">
        <v>7</v>
      </c>
      <c r="L9" s="10" t="s">
        <v>6</v>
      </c>
      <c r="M9" s="16" t="s">
        <v>23</v>
      </c>
      <c r="N9" s="17" t="s">
        <v>20</v>
      </c>
    </row>
    <row r="10" spans="1:14" ht="30">
      <c r="B10" s="6" t="s">
        <v>26</v>
      </c>
      <c r="C10" s="9">
        <f>AVERAGE(Arkusz1!I2:I18)</f>
        <v>46.567291531997419</v>
      </c>
      <c r="D10" s="9">
        <v>36.536263736263734</v>
      </c>
      <c r="E10" s="10" t="s">
        <v>15</v>
      </c>
      <c r="F10" s="9">
        <v>59.553846153846152</v>
      </c>
      <c r="G10" s="10" t="s">
        <v>11</v>
      </c>
      <c r="L10" s="10" t="s">
        <v>7</v>
      </c>
      <c r="M10" s="6" t="s">
        <v>22</v>
      </c>
      <c r="N10" s="17" t="s">
        <v>20</v>
      </c>
    </row>
    <row r="11" spans="1:14" ht="15" customHeight="1">
      <c r="B11" s="6" t="s">
        <v>27</v>
      </c>
      <c r="C11" s="9">
        <f>AVERAGE(Arkusz1!J2:J18)</f>
        <v>85.629605688429237</v>
      </c>
      <c r="D11" s="9">
        <v>64.824175824175825</v>
      </c>
      <c r="E11" s="10" t="s">
        <v>16</v>
      </c>
      <c r="F11" s="9">
        <v>90.991208791208791</v>
      </c>
      <c r="G11" s="10" t="s">
        <v>8</v>
      </c>
      <c r="L11" s="10" t="s">
        <v>8</v>
      </c>
      <c r="M11" s="16" t="s">
        <v>23</v>
      </c>
      <c r="N11" s="17" t="s">
        <v>20</v>
      </c>
    </row>
    <row r="12" spans="1:14">
      <c r="L12" s="10" t="s">
        <v>9</v>
      </c>
      <c r="M12" s="16" t="s">
        <v>23</v>
      </c>
      <c r="N12" s="6" t="s">
        <v>21</v>
      </c>
    </row>
    <row r="13" spans="1:14">
      <c r="L13" s="10" t="s">
        <v>10</v>
      </c>
      <c r="M13" s="16" t="s">
        <v>23</v>
      </c>
      <c r="N13" s="17" t="s">
        <v>20</v>
      </c>
    </row>
    <row r="14" spans="1:14">
      <c r="L14" s="10" t="s">
        <v>11</v>
      </c>
      <c r="M14" s="16" t="s">
        <v>23</v>
      </c>
      <c r="N14" s="17" t="s">
        <v>20</v>
      </c>
    </row>
    <row r="15" spans="1:14">
      <c r="A15" s="7" t="s">
        <v>17</v>
      </c>
      <c r="B15" s="4">
        <f>MAX(Arkusz1!B2:B18)</f>
        <v>66.169230769230765</v>
      </c>
      <c r="C15" s="4">
        <f>MAX(Arkusz1!C2:C18)</f>
        <v>66.971428571428575</v>
      </c>
      <c r="D15" s="4">
        <f>MAX(Arkusz1!D2:D18)</f>
        <v>69.525274725274727</v>
      </c>
      <c r="E15" s="4">
        <f>MAX(Arkusz1!E2:E18)</f>
        <v>53.850549450549451</v>
      </c>
      <c r="F15" s="4">
        <f>MAX(Arkusz1!F2:F18)</f>
        <v>56.632967032967031</v>
      </c>
      <c r="G15" s="5">
        <f>MAX(Arkusz1!G2:G18)</f>
        <v>53.727472527472528</v>
      </c>
      <c r="H15" s="4">
        <f>MAX(Arkusz1!H2:H18)</f>
        <v>42.931868131868129</v>
      </c>
      <c r="I15" s="4">
        <f>MAX(Arkusz1!I2:I18)</f>
        <v>59.553846153846152</v>
      </c>
      <c r="J15" s="4">
        <f>MAX(Arkusz1!J2:J18)</f>
        <v>90.991208791208791</v>
      </c>
      <c r="L15" s="10" t="s">
        <v>12</v>
      </c>
      <c r="M15" s="16" t="s">
        <v>23</v>
      </c>
      <c r="N15" s="17" t="s">
        <v>20</v>
      </c>
    </row>
    <row r="16" spans="1:14">
      <c r="A16" s="7" t="s">
        <v>18</v>
      </c>
      <c r="B16" s="4">
        <f>MIN(Arkusz1!B2:B18)</f>
        <v>35.670329670329672</v>
      </c>
      <c r="C16" s="4">
        <f>MIN(Arkusz1!C2:C18)</f>
        <v>44.325274725274724</v>
      </c>
      <c r="D16" s="4">
        <f>MIN(Arkusz1!D2:D18)</f>
        <v>42.824175824175825</v>
      </c>
      <c r="E16" s="4">
        <f>MIN(Arkusz1!E2:E18)</f>
        <v>24.105494505494505</v>
      </c>
      <c r="F16" s="4">
        <f>MIN(Arkusz1!F2:F18)</f>
        <v>18.243956043956043</v>
      </c>
      <c r="G16" s="5">
        <f>MIN(Arkusz1!G2:G18)</f>
        <v>36.64835164835165</v>
      </c>
      <c r="H16" s="4">
        <f>MIN(Arkusz1!H2:H18)</f>
        <v>28.991208791208791</v>
      </c>
      <c r="I16" s="4">
        <f>MIN(Arkusz1!I2:I18)</f>
        <v>36.536263736263734</v>
      </c>
      <c r="J16" s="4">
        <f>MIN(Arkusz1!J2:J18)</f>
        <v>64.824175824175825</v>
      </c>
      <c r="L16" s="10" t="s">
        <v>13</v>
      </c>
      <c r="M16" s="6" t="s">
        <v>25</v>
      </c>
      <c r="N16" s="17" t="s">
        <v>20</v>
      </c>
    </row>
    <row r="17" spans="12:14">
      <c r="L17" s="10" t="s">
        <v>14</v>
      </c>
      <c r="M17" s="16" t="s">
        <v>23</v>
      </c>
      <c r="N17" s="17" t="s">
        <v>20</v>
      </c>
    </row>
    <row r="18" spans="12:14">
      <c r="L18" s="10" t="s">
        <v>15</v>
      </c>
      <c r="M18" s="6" t="s">
        <v>25</v>
      </c>
      <c r="N18" s="6" t="s">
        <v>19</v>
      </c>
    </row>
    <row r="19" spans="12:14">
      <c r="L19" s="10" t="s">
        <v>16</v>
      </c>
      <c r="M19" s="16" t="s">
        <v>23</v>
      </c>
      <c r="N19" s="17" t="s">
        <v>20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B2:AH23"/>
  <sheetViews>
    <sheetView topLeftCell="A24" workbookViewId="0">
      <selection activeCell="D40" sqref="D40"/>
    </sheetView>
  </sheetViews>
  <sheetFormatPr defaultRowHeight="15"/>
  <cols>
    <col min="2" max="2" width="17.5703125" customWidth="1"/>
    <col min="4" max="4" width="12.140625" customWidth="1"/>
    <col min="8" max="8" width="11.42578125" customWidth="1"/>
    <col min="12" max="12" width="11.28515625" customWidth="1"/>
    <col min="20" max="20" width="20.85546875" customWidth="1"/>
    <col min="21" max="21" width="23" customWidth="1"/>
    <col min="22" max="23" width="22.5703125" customWidth="1"/>
    <col min="24" max="24" width="17.85546875" customWidth="1"/>
    <col min="35" max="35" width="27.140625" customWidth="1"/>
    <col min="36" max="36" width="17.85546875" customWidth="1"/>
    <col min="37" max="37" width="20.42578125" customWidth="1"/>
  </cols>
  <sheetData>
    <row r="2" spans="2:34" ht="45">
      <c r="B2" s="2"/>
      <c r="C2" s="6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s="6" t="s">
        <v>24</v>
      </c>
      <c r="I2" s="6" t="s">
        <v>25</v>
      </c>
      <c r="J2" s="6" t="s">
        <v>26</v>
      </c>
      <c r="K2" s="6" t="s">
        <v>27</v>
      </c>
      <c r="L2" s="19" t="s">
        <v>52</v>
      </c>
      <c r="P2" s="20"/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</row>
    <row r="3" spans="2:34">
      <c r="B3" s="7" t="s">
        <v>0</v>
      </c>
      <c r="C3" s="28">
        <v>9.7807240000000004E-2</v>
      </c>
      <c r="D3" s="28">
        <v>0.1107501</v>
      </c>
      <c r="E3" s="31">
        <v>0.11580940000000001</v>
      </c>
      <c r="F3" s="28">
        <v>8.5142460000000003E-2</v>
      </c>
      <c r="G3" s="28">
        <v>6.9304660000000004E-2</v>
      </c>
      <c r="H3" s="31">
        <v>0.10066949</v>
      </c>
      <c r="I3" s="31">
        <v>7.9685099999999995E-2</v>
      </c>
      <c r="J3" s="31">
        <v>0.11516067000000001</v>
      </c>
      <c r="K3" s="42">
        <v>0.22567090000000001</v>
      </c>
      <c r="L3" s="36">
        <v>5.4029479999999998E-2</v>
      </c>
      <c r="P3" s="20" t="s">
        <v>35</v>
      </c>
      <c r="Q3">
        <v>9.7807240000000004E-2</v>
      </c>
      <c r="R3">
        <v>0.1107501</v>
      </c>
      <c r="S3">
        <v>0.11580940000000001</v>
      </c>
      <c r="T3">
        <v>8.5142460000000003E-2</v>
      </c>
      <c r="U3">
        <v>6.9304660000000004E-2</v>
      </c>
      <c r="V3">
        <v>0.10066949</v>
      </c>
      <c r="W3">
        <v>7.9685099999999995E-2</v>
      </c>
      <c r="X3">
        <v>0.11516067000000001</v>
      </c>
      <c r="Y3">
        <v>0.22567090000000001</v>
      </c>
    </row>
    <row r="4" spans="2:34">
      <c r="B4" s="7" t="s">
        <v>1</v>
      </c>
      <c r="C4" s="28">
        <v>0.10040311</v>
      </c>
      <c r="D4" s="28">
        <v>0.11260249999999999</v>
      </c>
      <c r="E4" s="28">
        <v>0.1087891</v>
      </c>
      <c r="F4" s="28">
        <v>8.3625519999999995E-2</v>
      </c>
      <c r="G4" s="28">
        <v>7.3447310000000002E-2</v>
      </c>
      <c r="H4" s="31">
        <v>0.10087210000000001</v>
      </c>
      <c r="I4" s="28">
        <v>7.8031130000000004E-2</v>
      </c>
      <c r="J4" s="31">
        <v>0.11163655</v>
      </c>
      <c r="K4" s="42">
        <v>0.23059270000000001</v>
      </c>
      <c r="L4" s="36">
        <v>5.2758729999999997E-2</v>
      </c>
      <c r="P4" s="20" t="s">
        <v>36</v>
      </c>
      <c r="Q4">
        <v>0.10040311</v>
      </c>
      <c r="R4">
        <v>0.11260249999999999</v>
      </c>
      <c r="S4">
        <v>0.1087891</v>
      </c>
      <c r="T4">
        <v>8.3625519999999995E-2</v>
      </c>
      <c r="U4">
        <v>7.3447310000000002E-2</v>
      </c>
      <c r="V4">
        <v>0.10087210000000001</v>
      </c>
      <c r="W4">
        <v>7.8031130000000004E-2</v>
      </c>
      <c r="X4">
        <v>0.11163655</v>
      </c>
      <c r="Y4">
        <v>0.23059270000000001</v>
      </c>
    </row>
    <row r="5" spans="2:34">
      <c r="B5" s="7" t="s">
        <v>2</v>
      </c>
      <c r="C5" s="31">
        <v>0.12451688</v>
      </c>
      <c r="D5" s="28">
        <v>0.12111810000000001</v>
      </c>
      <c r="E5" s="28">
        <v>0.10582859999999999</v>
      </c>
      <c r="F5" s="27">
        <v>8.5591249999999994E-2</v>
      </c>
      <c r="G5" s="31">
        <v>8.6388309999999996E-2</v>
      </c>
      <c r="H5" s="31">
        <v>9.7471970000000005E-2</v>
      </c>
      <c r="I5" s="28">
        <v>7.3845889999999997E-2</v>
      </c>
      <c r="J5" s="28">
        <v>9.8158739999999994E-2</v>
      </c>
      <c r="K5" s="42">
        <v>0.20708029999999999</v>
      </c>
      <c r="L5" s="36">
        <v>5.8760470000000002E-2</v>
      </c>
      <c r="P5" s="20" t="s">
        <v>37</v>
      </c>
      <c r="Q5">
        <v>0.12451688</v>
      </c>
      <c r="R5">
        <v>0.12111810000000001</v>
      </c>
      <c r="S5">
        <v>0.10582859999999999</v>
      </c>
      <c r="T5" s="20">
        <v>8.5591249999999994E-2</v>
      </c>
      <c r="U5">
        <v>8.6388309999999996E-2</v>
      </c>
      <c r="V5">
        <v>9.7471970000000005E-2</v>
      </c>
      <c r="W5">
        <v>7.3845889999999997E-2</v>
      </c>
      <c r="X5">
        <v>9.8158739999999994E-2</v>
      </c>
      <c r="Y5">
        <v>0.20708029999999999</v>
      </c>
      <c r="AH5" s="20"/>
    </row>
    <row r="6" spans="2:34">
      <c r="B6" s="7" t="s">
        <v>3</v>
      </c>
      <c r="C6" s="28">
        <v>0.10341912</v>
      </c>
      <c r="D6" s="28">
        <v>0.1059653</v>
      </c>
      <c r="E6" s="28">
        <v>0.1025437</v>
      </c>
      <c r="F6" s="32">
        <v>9.7566340000000001E-2</v>
      </c>
      <c r="G6" s="31">
        <v>0.10895675</v>
      </c>
      <c r="H6" s="28">
        <v>9.2308849999999998E-2</v>
      </c>
      <c r="I6" s="31">
        <v>8.2174029999999995E-2</v>
      </c>
      <c r="J6" s="28">
        <v>0.10510993</v>
      </c>
      <c r="K6" s="42">
        <v>0.20195589999999999</v>
      </c>
      <c r="L6" s="36">
        <v>5.8884770000000003E-2</v>
      </c>
      <c r="P6" s="20" t="s">
        <v>38</v>
      </c>
      <c r="Q6">
        <v>0.10341912</v>
      </c>
      <c r="R6">
        <v>0.1059653</v>
      </c>
      <c r="S6">
        <v>0.1025437</v>
      </c>
      <c r="T6" s="20">
        <v>9.7566340000000001E-2</v>
      </c>
      <c r="U6">
        <v>0.10895675</v>
      </c>
      <c r="V6">
        <v>9.2308849999999998E-2</v>
      </c>
      <c r="W6">
        <v>8.2174029999999995E-2</v>
      </c>
      <c r="X6">
        <v>0.10510993</v>
      </c>
      <c r="Y6">
        <v>0.20195589999999999</v>
      </c>
      <c r="AH6" s="20"/>
    </row>
    <row r="7" spans="2:34">
      <c r="B7" s="7" t="s">
        <v>4</v>
      </c>
      <c r="C7" s="31">
        <v>0.11877208</v>
      </c>
      <c r="D7" s="28">
        <v>0.12567149999999999</v>
      </c>
      <c r="E7" s="31">
        <v>0.1270182</v>
      </c>
      <c r="F7" s="32">
        <v>9.512922E-2</v>
      </c>
      <c r="G7" s="28">
        <v>7.6591809999999996E-2</v>
      </c>
      <c r="H7" s="28">
        <v>8.5410769999999997E-2</v>
      </c>
      <c r="I7" s="28">
        <v>7.5451119999999997E-2</v>
      </c>
      <c r="J7" s="28">
        <v>0.10340547999999999</v>
      </c>
      <c r="K7" s="37">
        <v>0.1925499</v>
      </c>
      <c r="L7" s="36">
        <v>5.8619079999999997E-2</v>
      </c>
      <c r="P7" s="20" t="s">
        <v>39</v>
      </c>
      <c r="Q7">
        <v>0.11877208</v>
      </c>
      <c r="R7">
        <v>0.12567149999999999</v>
      </c>
      <c r="S7">
        <v>0.1270182</v>
      </c>
      <c r="T7" s="20">
        <v>9.512922E-2</v>
      </c>
      <c r="U7">
        <v>7.6591809999999996E-2</v>
      </c>
      <c r="V7">
        <v>8.5410769999999997E-2</v>
      </c>
      <c r="W7">
        <v>7.5451119999999997E-2</v>
      </c>
      <c r="X7">
        <v>0.10340547999999999</v>
      </c>
      <c r="Y7">
        <v>0.1925499</v>
      </c>
      <c r="AH7" s="20"/>
    </row>
    <row r="8" spans="2:34">
      <c r="B8" s="7" t="s">
        <v>5</v>
      </c>
      <c r="C8" s="31">
        <v>0.11694399</v>
      </c>
      <c r="D8" s="31">
        <v>0.1304882</v>
      </c>
      <c r="E8" s="31">
        <v>0.13499820000000001</v>
      </c>
      <c r="F8" s="32">
        <v>8.8086170000000005E-2</v>
      </c>
      <c r="G8" s="31">
        <v>6.4088560000000003E-2</v>
      </c>
      <c r="H8" s="28">
        <v>9.3707399999999996E-2</v>
      </c>
      <c r="I8" s="28">
        <v>7.7749449999999998E-2</v>
      </c>
      <c r="J8" s="28">
        <v>0.10536537999999999</v>
      </c>
      <c r="K8" s="37">
        <v>0.18857270000000001</v>
      </c>
      <c r="L8" s="36">
        <v>6.3092029999999993E-2</v>
      </c>
      <c r="P8" s="20" t="s">
        <v>40</v>
      </c>
      <c r="Q8">
        <v>0.11694399</v>
      </c>
      <c r="R8">
        <v>0.1304882</v>
      </c>
      <c r="S8">
        <v>0.13499820000000001</v>
      </c>
      <c r="T8" s="20">
        <v>8.8086170000000005E-2</v>
      </c>
      <c r="U8">
        <v>6.4088560000000003E-2</v>
      </c>
      <c r="V8">
        <v>9.3707399999999996E-2</v>
      </c>
      <c r="W8">
        <v>7.7749449999999998E-2</v>
      </c>
      <c r="X8">
        <v>0.10536537999999999</v>
      </c>
      <c r="Y8">
        <v>0.18857270000000001</v>
      </c>
      <c r="AH8" s="20"/>
    </row>
    <row r="9" spans="2:34">
      <c r="B9" s="7" t="s">
        <v>6</v>
      </c>
      <c r="C9" s="31">
        <v>0.11668485000000001</v>
      </c>
      <c r="D9" s="31">
        <v>0.12917919999999999</v>
      </c>
      <c r="E9" s="31">
        <v>0.126693</v>
      </c>
      <c r="F9" s="27">
        <v>7.8897369999999994E-2</v>
      </c>
      <c r="G9" s="28">
        <v>6.0576310000000001E-2</v>
      </c>
      <c r="H9" s="31">
        <v>0.11110808</v>
      </c>
      <c r="I9" s="31">
        <v>8.627398E-2</v>
      </c>
      <c r="J9" s="31">
        <v>0.1103536</v>
      </c>
      <c r="K9" s="37">
        <v>0.18023359999999999</v>
      </c>
      <c r="L9" s="36">
        <v>6.4809919999999993E-2</v>
      </c>
      <c r="P9" s="20" t="s">
        <v>41</v>
      </c>
      <c r="Q9">
        <v>0.11668485000000001</v>
      </c>
      <c r="R9">
        <v>0.12917919999999999</v>
      </c>
      <c r="S9">
        <v>0.126693</v>
      </c>
      <c r="T9" s="20">
        <v>7.8897369999999994E-2</v>
      </c>
      <c r="U9">
        <v>6.0576310000000001E-2</v>
      </c>
      <c r="V9">
        <v>0.11110808</v>
      </c>
      <c r="W9">
        <v>8.627398E-2</v>
      </c>
      <c r="X9">
        <v>0.1103536</v>
      </c>
      <c r="Y9">
        <v>0.18023359999999999</v>
      </c>
      <c r="AH9" s="20"/>
    </row>
    <row r="10" spans="2:34">
      <c r="B10" s="7" t="s">
        <v>7</v>
      </c>
      <c r="C10" s="28">
        <v>0.10204837</v>
      </c>
      <c r="D10" s="28">
        <v>0.1109328</v>
      </c>
      <c r="E10" s="28">
        <v>0.10559929999999999</v>
      </c>
      <c r="F10" s="32">
        <v>9.156388E-2</v>
      </c>
      <c r="G10" s="31">
        <v>0.10360999</v>
      </c>
      <c r="H10" s="31">
        <v>9.8415790000000003E-2</v>
      </c>
      <c r="I10" s="31">
        <v>9.3860659999999999E-2</v>
      </c>
      <c r="J10" s="28">
        <v>0.10418659</v>
      </c>
      <c r="K10" s="37">
        <v>0.1897827</v>
      </c>
      <c r="L10" s="36">
        <v>6.1303730000000001E-2</v>
      </c>
      <c r="P10" s="20" t="s">
        <v>42</v>
      </c>
      <c r="Q10">
        <v>0.10204837</v>
      </c>
      <c r="R10">
        <v>0.1109328</v>
      </c>
      <c r="S10">
        <v>0.10559929999999999</v>
      </c>
      <c r="T10" s="20">
        <v>9.156388E-2</v>
      </c>
      <c r="U10">
        <v>0.10360999</v>
      </c>
      <c r="V10">
        <v>9.8415790000000003E-2</v>
      </c>
      <c r="W10">
        <v>9.3860659999999999E-2</v>
      </c>
      <c r="X10">
        <v>0.10418659</v>
      </c>
      <c r="Y10">
        <v>0.1897827</v>
      </c>
      <c r="AH10" s="20"/>
    </row>
    <row r="11" spans="2:34">
      <c r="B11" s="7" t="s">
        <v>8</v>
      </c>
      <c r="C11" s="28">
        <v>0.11012012</v>
      </c>
      <c r="D11" s="28">
        <v>0.1167942</v>
      </c>
      <c r="E11" s="28">
        <v>0.1139317</v>
      </c>
      <c r="F11" s="27">
        <v>8.3634650000000005E-2</v>
      </c>
      <c r="G11" s="31">
        <v>7.9918439999999993E-2</v>
      </c>
      <c r="H11" s="31">
        <v>0.10256216999999999</v>
      </c>
      <c r="I11" s="31">
        <v>8.122414E-2</v>
      </c>
      <c r="J11" s="28">
        <v>0.10390302</v>
      </c>
      <c r="K11" s="42">
        <v>0.2079115</v>
      </c>
      <c r="L11" s="36">
        <v>5.8655899999999997E-2</v>
      </c>
      <c r="P11" s="20" t="s">
        <v>43</v>
      </c>
      <c r="Q11">
        <v>0.11012012</v>
      </c>
      <c r="R11">
        <v>0.1167942</v>
      </c>
      <c r="S11">
        <v>0.1139317</v>
      </c>
      <c r="T11" s="20">
        <v>8.3634650000000005E-2</v>
      </c>
      <c r="U11">
        <v>7.9918439999999993E-2</v>
      </c>
      <c r="V11">
        <v>0.10256216999999999</v>
      </c>
      <c r="W11">
        <v>8.122414E-2</v>
      </c>
      <c r="X11">
        <v>0.10390302</v>
      </c>
      <c r="Y11">
        <v>0.2079115</v>
      </c>
      <c r="AH11" s="20"/>
    </row>
    <row r="12" spans="2:34">
      <c r="B12" s="7" t="s">
        <v>9</v>
      </c>
      <c r="C12" s="31">
        <v>0.12388481</v>
      </c>
      <c r="D12" s="31">
        <v>0.13531979999999999</v>
      </c>
      <c r="E12" s="31">
        <v>0.14047999999999999</v>
      </c>
      <c r="F12" s="32">
        <v>0.10880831000000001</v>
      </c>
      <c r="G12" s="28">
        <v>6.577703E-2</v>
      </c>
      <c r="H12" s="28">
        <v>8.5716189999999998E-2</v>
      </c>
      <c r="I12" s="28">
        <v>7.8668650000000007E-2</v>
      </c>
      <c r="J12" s="28">
        <v>9.9633630000000001E-2</v>
      </c>
      <c r="K12" s="37">
        <v>0.16171150000000001</v>
      </c>
      <c r="L12" s="36">
        <v>6.6331349999999997E-2</v>
      </c>
      <c r="P12" s="20" t="s">
        <v>44</v>
      </c>
      <c r="Q12">
        <v>0.12388481</v>
      </c>
      <c r="R12">
        <v>0.13531979999999999</v>
      </c>
      <c r="S12">
        <v>0.14047999999999999</v>
      </c>
      <c r="T12" s="20">
        <v>0.10880831000000001</v>
      </c>
      <c r="U12">
        <v>6.577703E-2</v>
      </c>
      <c r="V12">
        <v>8.5716189999999998E-2</v>
      </c>
      <c r="W12">
        <v>7.8668650000000007E-2</v>
      </c>
      <c r="X12">
        <v>9.9633630000000001E-2</v>
      </c>
      <c r="Y12">
        <v>0.16171150000000001</v>
      </c>
      <c r="AH12" s="20"/>
    </row>
    <row r="13" spans="2:34">
      <c r="B13" s="7" t="s">
        <v>10</v>
      </c>
      <c r="C13" s="28">
        <v>0.10537883000000001</v>
      </c>
      <c r="D13" s="31">
        <v>0.12684490000000001</v>
      </c>
      <c r="E13" s="31">
        <v>0.1236592</v>
      </c>
      <c r="F13" s="32">
        <v>0.10289958</v>
      </c>
      <c r="G13" s="28">
        <v>5.6973969999999999E-2</v>
      </c>
      <c r="H13" s="28">
        <v>9.0265170000000006E-2</v>
      </c>
      <c r="I13" s="28">
        <v>7.5227290000000002E-2</v>
      </c>
      <c r="J13" s="31">
        <v>0.11835969</v>
      </c>
      <c r="K13" s="42">
        <v>0.2003914</v>
      </c>
      <c r="L13" s="36">
        <v>5.44158E-2</v>
      </c>
      <c r="P13" s="20" t="s">
        <v>45</v>
      </c>
      <c r="Q13">
        <v>0.10537883000000001</v>
      </c>
      <c r="R13">
        <v>0.12684490000000001</v>
      </c>
      <c r="S13">
        <v>0.1236592</v>
      </c>
      <c r="T13" s="20">
        <v>0.10289958</v>
      </c>
      <c r="U13">
        <v>5.6973969999999999E-2</v>
      </c>
      <c r="V13">
        <v>9.0265170000000006E-2</v>
      </c>
      <c r="W13">
        <v>7.5227290000000002E-2</v>
      </c>
      <c r="X13">
        <v>0.11835969</v>
      </c>
      <c r="Y13">
        <v>0.2003914</v>
      </c>
      <c r="AH13" s="20"/>
    </row>
    <row r="14" spans="2:34">
      <c r="B14" s="7" t="s">
        <v>11</v>
      </c>
      <c r="C14" s="31">
        <v>0.12504813000000001</v>
      </c>
      <c r="D14" s="31">
        <v>0.14969940000000001</v>
      </c>
      <c r="E14" s="31">
        <v>0.127502</v>
      </c>
      <c r="F14" s="27">
        <v>5.6304769999999997E-2</v>
      </c>
      <c r="G14" s="28">
        <v>4.5904199999999999E-2</v>
      </c>
      <c r="H14" s="28">
        <v>9.8127790000000006E-2</v>
      </c>
      <c r="I14" s="28">
        <v>6.7716650000000003E-2</v>
      </c>
      <c r="J14" s="31">
        <v>0.13910378000000001</v>
      </c>
      <c r="K14" s="37">
        <v>0.19059329999999999</v>
      </c>
      <c r="L14" s="36">
        <v>5.7380140000000003E-2</v>
      </c>
      <c r="P14" s="20" t="s">
        <v>46</v>
      </c>
      <c r="Q14">
        <v>0.12504813000000001</v>
      </c>
      <c r="R14">
        <v>0.14969940000000001</v>
      </c>
      <c r="S14">
        <v>0.127502</v>
      </c>
      <c r="T14" s="20">
        <v>5.6304769999999997E-2</v>
      </c>
      <c r="U14">
        <v>4.5904199999999999E-2</v>
      </c>
      <c r="V14">
        <v>9.8127790000000006E-2</v>
      </c>
      <c r="W14">
        <v>6.7716650000000003E-2</v>
      </c>
      <c r="X14">
        <v>0.13910378000000001</v>
      </c>
      <c r="Y14">
        <v>0.19059329999999999</v>
      </c>
      <c r="AH14" s="20"/>
    </row>
    <row r="15" spans="2:34">
      <c r="B15" s="7" t="s">
        <v>12</v>
      </c>
      <c r="C15" s="31">
        <v>0.13113243999999999</v>
      </c>
      <c r="D15" s="31">
        <v>0.13312379999999999</v>
      </c>
      <c r="E15" s="31">
        <v>0.1236783</v>
      </c>
      <c r="F15" s="27">
        <v>7.2921540000000007E-2</v>
      </c>
      <c r="G15" s="28">
        <v>6.4088409999999998E-2</v>
      </c>
      <c r="H15" s="31">
        <v>0.10092044</v>
      </c>
      <c r="I15" s="28">
        <v>7.6585940000000005E-2</v>
      </c>
      <c r="J15" s="28">
        <v>0.1032348</v>
      </c>
      <c r="K15" s="37">
        <v>0.1943144</v>
      </c>
      <c r="L15" s="36">
        <v>6.1092819999999999E-2</v>
      </c>
      <c r="P15" s="20" t="s">
        <v>47</v>
      </c>
      <c r="Q15">
        <v>0.13113243999999999</v>
      </c>
      <c r="R15">
        <v>0.13312379999999999</v>
      </c>
      <c r="S15">
        <v>0.1236783</v>
      </c>
      <c r="T15" s="20">
        <v>7.2921540000000007E-2</v>
      </c>
      <c r="U15">
        <v>6.4088409999999998E-2</v>
      </c>
      <c r="V15">
        <v>0.10092044</v>
      </c>
      <c r="W15">
        <v>7.6585940000000005E-2</v>
      </c>
      <c r="X15">
        <v>0.1032348</v>
      </c>
      <c r="Y15">
        <v>0.1943144</v>
      </c>
      <c r="AH15" s="20"/>
    </row>
    <row r="16" spans="2:34">
      <c r="B16" s="7" t="s">
        <v>13</v>
      </c>
      <c r="C16" s="28">
        <v>0.11251227</v>
      </c>
      <c r="D16" s="28">
        <v>0.1238105</v>
      </c>
      <c r="E16" s="28">
        <v>0.1119957</v>
      </c>
      <c r="F16" s="27">
        <v>8.3458180000000007E-2</v>
      </c>
      <c r="G16" s="31">
        <v>8.5059670000000004E-2</v>
      </c>
      <c r="H16" s="31">
        <v>0.10237640000000001</v>
      </c>
      <c r="I16" s="31">
        <v>8.0720150000000004E-2</v>
      </c>
      <c r="J16" s="28">
        <v>9.5613989999999996E-2</v>
      </c>
      <c r="K16" s="42">
        <v>0.2044532</v>
      </c>
      <c r="L16" s="36">
        <v>5.701871E-2</v>
      </c>
      <c r="P16" s="20" t="s">
        <v>48</v>
      </c>
      <c r="Q16">
        <v>0.11251227</v>
      </c>
      <c r="R16">
        <v>0.1238105</v>
      </c>
      <c r="S16">
        <v>0.1119957</v>
      </c>
      <c r="T16" s="20">
        <v>8.3458180000000007E-2</v>
      </c>
      <c r="U16">
        <v>8.5059670000000004E-2</v>
      </c>
      <c r="V16">
        <v>0.10237640000000001</v>
      </c>
      <c r="W16">
        <v>8.0720150000000004E-2</v>
      </c>
      <c r="X16">
        <v>9.5613989999999996E-2</v>
      </c>
      <c r="Y16">
        <v>0.2044532</v>
      </c>
      <c r="AH16" s="20"/>
    </row>
    <row r="17" spans="2:34">
      <c r="B17" s="7" t="s">
        <v>14</v>
      </c>
      <c r="C17" s="31">
        <v>0.11634019</v>
      </c>
      <c r="D17" s="31">
        <v>0.1305684</v>
      </c>
      <c r="E17" s="31">
        <v>0.12539230000000001</v>
      </c>
      <c r="F17" s="32">
        <v>9.1523599999999997E-2</v>
      </c>
      <c r="G17" s="28">
        <v>6.7775299999999997E-2</v>
      </c>
      <c r="H17" s="31">
        <v>9.7947549999999994E-2</v>
      </c>
      <c r="I17" s="28">
        <v>7.6279120000000006E-2</v>
      </c>
      <c r="J17" s="31">
        <v>0.1069997</v>
      </c>
      <c r="K17" s="37">
        <v>0.1871738</v>
      </c>
      <c r="L17" s="36">
        <v>6.2315559999999999E-2</v>
      </c>
      <c r="P17" s="20" t="s">
        <v>49</v>
      </c>
      <c r="Q17">
        <v>0.11634019</v>
      </c>
      <c r="R17">
        <v>0.1305684</v>
      </c>
      <c r="S17">
        <v>0.12539230000000001</v>
      </c>
      <c r="T17" s="20">
        <v>9.1523599999999997E-2</v>
      </c>
      <c r="U17">
        <v>6.7775299999999997E-2</v>
      </c>
      <c r="V17">
        <v>9.7947549999999994E-2</v>
      </c>
      <c r="W17">
        <v>7.6279120000000006E-2</v>
      </c>
      <c r="X17">
        <v>0.1069997</v>
      </c>
      <c r="Y17">
        <v>0.1871738</v>
      </c>
      <c r="AH17" s="20"/>
    </row>
    <row r="18" spans="2:34">
      <c r="B18" s="7" t="s">
        <v>15</v>
      </c>
      <c r="C18" s="31">
        <v>0.14629465</v>
      </c>
      <c r="D18" s="28">
        <v>0.11730980000000001</v>
      </c>
      <c r="E18" s="28">
        <v>0.1004582</v>
      </c>
      <c r="F18" s="27">
        <v>8.5560040000000004E-2</v>
      </c>
      <c r="G18" s="31">
        <v>0.12521077</v>
      </c>
      <c r="H18" s="28">
        <v>8.5462860000000002E-2</v>
      </c>
      <c r="I18" s="28">
        <v>6.8548129999999999E-2</v>
      </c>
      <c r="J18" s="28">
        <v>8.0778630000000004E-2</v>
      </c>
      <c r="K18" s="37">
        <v>0.19037689999999999</v>
      </c>
      <c r="L18" s="36">
        <v>6.0620340000000002E-2</v>
      </c>
      <c r="P18" s="20" t="s">
        <v>50</v>
      </c>
      <c r="Q18">
        <v>0.14629465</v>
      </c>
      <c r="R18">
        <v>0.11730980000000001</v>
      </c>
      <c r="S18">
        <v>0.1004582</v>
      </c>
      <c r="T18" s="20">
        <v>8.5560040000000004E-2</v>
      </c>
      <c r="U18">
        <v>0.12521077</v>
      </c>
      <c r="V18">
        <v>8.5462860000000002E-2</v>
      </c>
      <c r="W18">
        <v>6.8548129999999999E-2</v>
      </c>
      <c r="X18">
        <v>8.0778630000000004E-2</v>
      </c>
      <c r="Y18">
        <v>0.19037689999999999</v>
      </c>
      <c r="AH18" s="20"/>
    </row>
    <row r="19" spans="2:34" ht="15.75" thickBot="1">
      <c r="B19" s="7" t="s">
        <v>16</v>
      </c>
      <c r="C19" s="38">
        <v>9.5785549999999997E-2</v>
      </c>
      <c r="D19" s="39">
        <v>0.16323679999999999</v>
      </c>
      <c r="E19" s="38">
        <v>0.11780500000000001</v>
      </c>
      <c r="F19" s="40">
        <v>9.8476759999999997E-2</v>
      </c>
      <c r="G19" s="38">
        <v>4.8990499999999999E-2</v>
      </c>
      <c r="H19" s="39">
        <v>0.10771301</v>
      </c>
      <c r="I19" s="39">
        <v>8.7033239999999998E-2</v>
      </c>
      <c r="J19" s="39">
        <v>0.10688676</v>
      </c>
      <c r="K19" s="41">
        <v>0.17407239999999999</v>
      </c>
      <c r="L19" s="36">
        <v>4.9911179999999999E-2</v>
      </c>
      <c r="P19" s="21" t="s">
        <v>51</v>
      </c>
      <c r="Q19">
        <v>9.5785549999999997E-2</v>
      </c>
      <c r="R19">
        <v>0.16323679999999999</v>
      </c>
      <c r="S19">
        <v>0.11780500000000001</v>
      </c>
      <c r="T19" s="20">
        <v>9.8476759999999997E-2</v>
      </c>
      <c r="U19">
        <v>4.8990499999999999E-2</v>
      </c>
      <c r="V19">
        <v>0.10771301</v>
      </c>
      <c r="W19">
        <v>8.7033239999999998E-2</v>
      </c>
      <c r="X19">
        <v>0.10688676</v>
      </c>
      <c r="Y19">
        <v>0.17407239999999999</v>
      </c>
      <c r="AH19" s="20"/>
    </row>
    <row r="20" spans="2:34" ht="15.75" thickTop="1">
      <c r="B20" s="18" t="s">
        <v>52</v>
      </c>
      <c r="C20" s="33">
        <v>0.115058675</v>
      </c>
      <c r="D20" s="34">
        <v>0.12595974400000001</v>
      </c>
      <c r="E20" s="34">
        <v>0.11867238300000001</v>
      </c>
      <c r="F20" s="34">
        <v>8.7619174999999994E-2</v>
      </c>
      <c r="G20" s="34">
        <v>7.5731758999999996E-2</v>
      </c>
      <c r="H20" s="34">
        <v>9.6984535999999996E-2</v>
      </c>
      <c r="I20" s="35">
        <v>7.8769594999999998E-2</v>
      </c>
      <c r="J20" s="35">
        <v>0.106101285</v>
      </c>
      <c r="K20" s="35">
        <v>0.195102848</v>
      </c>
      <c r="L20" s="29">
        <v>1</v>
      </c>
      <c r="T20" s="20"/>
      <c r="AH20" s="20"/>
    </row>
    <row r="21" spans="2:34">
      <c r="T21" s="20"/>
      <c r="AH21" s="20"/>
    </row>
    <row r="22" spans="2:34">
      <c r="T22" s="20"/>
      <c r="AH22" s="20"/>
    </row>
    <row r="23" spans="2:34">
      <c r="T23" s="20"/>
      <c r="AH23" s="21"/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2:AK75"/>
  <sheetViews>
    <sheetView tabSelected="1" workbookViewId="0">
      <selection activeCell="C4" sqref="C4:K12"/>
    </sheetView>
  </sheetViews>
  <sheetFormatPr defaultRowHeight="15"/>
  <cols>
    <col min="2" max="2" width="15.5703125" customWidth="1"/>
    <col min="3" max="4" width="16" customWidth="1"/>
    <col min="7" max="7" width="14.7109375" customWidth="1"/>
    <col min="8" max="8" width="15.42578125" customWidth="1"/>
    <col min="9" max="9" width="8.5703125" customWidth="1"/>
    <col min="10" max="10" width="14.85546875" customWidth="1"/>
    <col min="11" max="11" width="10.28515625" customWidth="1"/>
    <col min="23" max="23" width="18.85546875" customWidth="1"/>
  </cols>
  <sheetData>
    <row r="2" spans="2:29">
      <c r="B2" s="44" t="s">
        <v>368</v>
      </c>
      <c r="C2" s="45" t="s">
        <v>53</v>
      </c>
      <c r="D2" s="45" t="s">
        <v>54</v>
      </c>
      <c r="E2" s="45" t="s">
        <v>55</v>
      </c>
      <c r="F2" s="45" t="s">
        <v>56</v>
      </c>
      <c r="G2" s="45" t="s">
        <v>57</v>
      </c>
      <c r="H2" s="43" t="s">
        <v>58</v>
      </c>
      <c r="I2" s="43"/>
      <c r="J2" s="43" t="s">
        <v>59</v>
      </c>
      <c r="K2" s="43"/>
    </row>
    <row r="3" spans="2:29" ht="39.75" customHeight="1">
      <c r="B3" s="44"/>
      <c r="C3" s="45"/>
      <c r="D3" s="45"/>
      <c r="E3" s="45"/>
      <c r="F3" s="45"/>
      <c r="G3" s="45"/>
      <c r="H3" s="12" t="s">
        <v>60</v>
      </c>
      <c r="I3" s="12" t="s">
        <v>61</v>
      </c>
      <c r="J3" s="12" t="s">
        <v>60</v>
      </c>
      <c r="K3" s="12" t="s">
        <v>61</v>
      </c>
    </row>
    <row r="4" spans="2:29">
      <c r="B4" s="6" t="s">
        <v>19</v>
      </c>
      <c r="C4" s="28">
        <v>1.8483291999999998E-2</v>
      </c>
      <c r="D4" s="28">
        <v>-7.5338710000000003E-2</v>
      </c>
      <c r="E4" s="27">
        <v>0.11505867</v>
      </c>
      <c r="F4" s="29">
        <v>0.48696509799999999</v>
      </c>
      <c r="G4" s="24">
        <v>9.5948349999999998</v>
      </c>
      <c r="H4" s="26">
        <v>0.49258163999999999</v>
      </c>
      <c r="I4" s="29">
        <v>2.7646273999999998E-2</v>
      </c>
      <c r="J4" s="26">
        <v>23.811598</v>
      </c>
      <c r="K4" s="29">
        <v>0.45931882400000001</v>
      </c>
    </row>
    <row r="5" spans="2:29" ht="30" customHeight="1">
      <c r="B5" s="6" t="s">
        <v>20</v>
      </c>
      <c r="C5" s="29">
        <v>-8.4374737000000005E-2</v>
      </c>
      <c r="D5" s="29">
        <v>-4.4247340000000003E-2</v>
      </c>
      <c r="E5" s="28">
        <v>0.12595973999999999</v>
      </c>
      <c r="F5" s="29">
        <v>0.78108249000000007</v>
      </c>
      <c r="G5" s="25">
        <v>9.8780140000000003</v>
      </c>
      <c r="H5" s="26">
        <v>11.237166459999999</v>
      </c>
      <c r="I5" s="29">
        <v>0.61260862000000005</v>
      </c>
      <c r="J5" s="26">
        <v>8.9916409999999996</v>
      </c>
      <c r="K5" s="29">
        <v>0.16847387</v>
      </c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</row>
    <row r="6" spans="2:29" ht="30">
      <c r="B6" s="6" t="s">
        <v>21</v>
      </c>
      <c r="C6" s="29">
        <v>-7.5096047999999999E-2</v>
      </c>
      <c r="D6" s="29">
        <v>-4.1176049999999999E-2</v>
      </c>
      <c r="E6" s="28">
        <v>0.11867237999999999</v>
      </c>
      <c r="F6" s="29">
        <v>0.78327994400000001</v>
      </c>
      <c r="G6" s="25">
        <v>7.4993220000000003</v>
      </c>
      <c r="H6" s="26">
        <v>8.3865629300000002</v>
      </c>
      <c r="I6" s="29">
        <v>0.60222382399999996</v>
      </c>
      <c r="J6" s="26">
        <v>7.336214</v>
      </c>
      <c r="K6" s="29">
        <v>0.18105611999999999</v>
      </c>
      <c r="U6" s="20" t="s">
        <v>35</v>
      </c>
      <c r="V6">
        <v>-7.3116350000000004E-3</v>
      </c>
      <c r="W6">
        <v>9.7493352899999997E-2</v>
      </c>
      <c r="X6" t="s">
        <v>62</v>
      </c>
      <c r="Y6" t="s">
        <v>63</v>
      </c>
      <c r="Z6" t="s">
        <v>64</v>
      </c>
      <c r="AA6" t="s">
        <v>65</v>
      </c>
      <c r="AB6" t="s">
        <v>66</v>
      </c>
      <c r="AC6" t="s">
        <v>67</v>
      </c>
    </row>
    <row r="7" spans="2:29" ht="30">
      <c r="B7" s="6" t="s">
        <v>22</v>
      </c>
      <c r="C7" s="29">
        <v>2.8249144E-2</v>
      </c>
      <c r="D7" s="29">
        <v>-4.5888579999999998E-2</v>
      </c>
      <c r="E7" s="28">
        <v>8.7619169999999996E-2</v>
      </c>
      <c r="F7" s="29">
        <v>0.16224026400000002</v>
      </c>
      <c r="G7" s="25">
        <v>10.582777</v>
      </c>
      <c r="H7" s="26">
        <v>0.87621346</v>
      </c>
      <c r="I7" s="29">
        <v>4.4586786000000003E-2</v>
      </c>
      <c r="J7" s="26">
        <v>6.7273059999999996</v>
      </c>
      <c r="K7" s="29">
        <v>0.11765347800000001</v>
      </c>
      <c r="U7" s="20" t="s">
        <v>36</v>
      </c>
      <c r="V7">
        <v>1.3613197E-2</v>
      </c>
      <c r="W7">
        <v>0.1002134765</v>
      </c>
      <c r="X7" t="s">
        <v>68</v>
      </c>
      <c r="Y7" t="s">
        <v>69</v>
      </c>
      <c r="Z7" t="s">
        <v>70</v>
      </c>
      <c r="AA7" t="s">
        <v>71</v>
      </c>
      <c r="AB7" t="s">
        <v>72</v>
      </c>
      <c r="AC7" t="s">
        <v>73</v>
      </c>
    </row>
    <row r="8" spans="2:29" ht="30">
      <c r="B8" s="6" t="s">
        <v>23</v>
      </c>
      <c r="C8" s="29">
        <v>0.26934972499999998</v>
      </c>
      <c r="D8" s="29">
        <v>-1.9060870000000001E-2</v>
      </c>
      <c r="E8" s="28">
        <v>7.5731759999999995E-2</v>
      </c>
      <c r="F8" s="29">
        <v>0.98534049899999998</v>
      </c>
      <c r="G8" s="25">
        <v>37.817284999999998</v>
      </c>
      <c r="H8" s="26">
        <v>68.851166750000004</v>
      </c>
      <c r="I8" s="29">
        <v>0.98043063600000002</v>
      </c>
      <c r="J8" s="26">
        <v>1.0032209999999999</v>
      </c>
      <c r="K8" s="29">
        <v>4.9098630000000004E-3</v>
      </c>
      <c r="U8" s="20" t="s">
        <v>37</v>
      </c>
      <c r="V8">
        <v>5.8504734000000003E-2</v>
      </c>
      <c r="W8">
        <v>5.2827726E-3</v>
      </c>
      <c r="X8" t="s">
        <v>74</v>
      </c>
      <c r="Y8" t="s">
        <v>75</v>
      </c>
      <c r="Z8" t="s">
        <v>76</v>
      </c>
      <c r="AA8" t="s">
        <v>77</v>
      </c>
      <c r="AB8" t="s">
        <v>78</v>
      </c>
      <c r="AC8" t="s">
        <v>79</v>
      </c>
    </row>
    <row r="9" spans="2:29" ht="36" customHeight="1">
      <c r="B9" s="6" t="s">
        <v>24</v>
      </c>
      <c r="C9" s="29">
        <v>-2.6419036999999999E-2</v>
      </c>
      <c r="D9" s="29">
        <v>4.0154870000000002E-2</v>
      </c>
      <c r="E9" s="28">
        <v>9.6984539999999994E-2</v>
      </c>
      <c r="F9" s="29">
        <v>0.40506969700000001</v>
      </c>
      <c r="G9" s="25">
        <v>3.7329490000000001</v>
      </c>
      <c r="H9" s="26">
        <v>0.84827498000000001</v>
      </c>
      <c r="I9" s="29">
        <v>0.122371559</v>
      </c>
      <c r="J9" s="26">
        <v>5.7017980000000001</v>
      </c>
      <c r="K9" s="29">
        <v>0.28269813799999999</v>
      </c>
      <c r="U9" s="20" t="s">
        <v>38</v>
      </c>
      <c r="V9">
        <v>0.13768457000000001</v>
      </c>
      <c r="W9">
        <v>3.1408718000000002E-2</v>
      </c>
      <c r="X9" t="s">
        <v>80</v>
      </c>
      <c r="Y9" t="s">
        <v>81</v>
      </c>
      <c r="Z9" t="s">
        <v>82</v>
      </c>
      <c r="AA9" t="s">
        <v>83</v>
      </c>
      <c r="AB9" t="s">
        <v>84</v>
      </c>
      <c r="AC9" t="s">
        <v>85</v>
      </c>
    </row>
    <row r="10" spans="2:29" ht="27.75" customHeight="1">
      <c r="B10" s="6" t="s">
        <v>25</v>
      </c>
      <c r="C10" s="29">
        <v>5.1723740000000004E-3</v>
      </c>
      <c r="D10" s="29">
        <v>1.9484310000000001E-2</v>
      </c>
      <c r="E10" s="28">
        <v>7.8769599999999995E-2</v>
      </c>
      <c r="F10" s="29">
        <v>6.4346005999999997E-2</v>
      </c>
      <c r="G10" s="25">
        <v>3.3572069999999998</v>
      </c>
      <c r="H10" s="26">
        <v>2.6408190000000002E-2</v>
      </c>
      <c r="I10" s="29">
        <v>4.2360050000000002E-3</v>
      </c>
      <c r="J10" s="26">
        <v>1.0903389999999999</v>
      </c>
      <c r="K10" s="29">
        <v>6.0110001000000003E-2</v>
      </c>
      <c r="U10" s="20" t="s">
        <v>39</v>
      </c>
      <c r="V10">
        <v>3.8281919999999998E-3</v>
      </c>
      <c r="W10">
        <v>-3.4735643699999999E-2</v>
      </c>
      <c r="X10" t="s">
        <v>86</v>
      </c>
      <c r="Y10" t="s">
        <v>87</v>
      </c>
      <c r="Z10" t="s">
        <v>88</v>
      </c>
      <c r="AA10" t="s">
        <v>89</v>
      </c>
      <c r="AB10" t="s">
        <v>90</v>
      </c>
      <c r="AC10" t="s">
        <v>91</v>
      </c>
    </row>
    <row r="11" spans="2:29" ht="24" customHeight="1">
      <c r="B11" s="6" t="s">
        <v>26</v>
      </c>
      <c r="C11" s="29">
        <v>-7.6551285999999996E-2</v>
      </c>
      <c r="D11" s="29">
        <v>5.1457349999999999E-2</v>
      </c>
      <c r="E11" s="28">
        <v>0.10610128000000001</v>
      </c>
      <c r="F11" s="29">
        <v>0.73040591899999996</v>
      </c>
      <c r="G11" s="25">
        <v>8.3402250000000002</v>
      </c>
      <c r="H11" s="26">
        <v>7.7915850500000001</v>
      </c>
      <c r="I11" s="29">
        <v>0.50308797599999999</v>
      </c>
      <c r="J11" s="26">
        <v>10.243498000000001</v>
      </c>
      <c r="K11" s="29">
        <v>0.22731794299999999</v>
      </c>
      <c r="U11" s="20" t="s">
        <v>40</v>
      </c>
      <c r="V11">
        <v>-5.2834329999999999E-2</v>
      </c>
      <c r="W11">
        <v>-2.79194613E-2</v>
      </c>
      <c r="X11" t="s">
        <v>92</v>
      </c>
      <c r="Y11" t="s">
        <v>93</v>
      </c>
      <c r="Z11" t="s">
        <v>94</v>
      </c>
      <c r="AA11" t="s">
        <v>95</v>
      </c>
      <c r="AB11" t="s">
        <v>96</v>
      </c>
      <c r="AC11" t="s">
        <v>97</v>
      </c>
    </row>
    <row r="12" spans="2:29" ht="25.5" customHeight="1">
      <c r="B12" s="6" t="s">
        <v>27</v>
      </c>
      <c r="C12" s="29">
        <v>2.4686933000000001E-2</v>
      </c>
      <c r="D12" s="29">
        <v>7.0237750000000002E-2</v>
      </c>
      <c r="E12" s="28">
        <v>0.19510284999999999</v>
      </c>
      <c r="F12" s="29">
        <v>0.79345702800000006</v>
      </c>
      <c r="G12" s="25">
        <v>9.1973859999999998</v>
      </c>
      <c r="H12" s="26">
        <v>1.49004055</v>
      </c>
      <c r="I12" s="29">
        <v>8.7242797999999996E-2</v>
      </c>
      <c r="J12" s="26">
        <v>35.094386</v>
      </c>
      <c r="K12" s="29">
        <v>0.70621423000000005</v>
      </c>
      <c r="U12" s="20" t="s">
        <v>41</v>
      </c>
      <c r="V12">
        <v>-6.9397439000000005E-2</v>
      </c>
      <c r="W12">
        <v>-3.5015110000000002E-4</v>
      </c>
      <c r="X12" t="s">
        <v>98</v>
      </c>
      <c r="Y12" t="s">
        <v>99</v>
      </c>
      <c r="Z12" t="s">
        <v>100</v>
      </c>
      <c r="AA12" t="s">
        <v>101</v>
      </c>
      <c r="AB12" t="s">
        <v>102</v>
      </c>
      <c r="AC12" t="s">
        <v>103</v>
      </c>
    </row>
    <row r="13" spans="2:29">
      <c r="U13" s="20" t="s">
        <v>42</v>
      </c>
      <c r="V13">
        <v>0.108418343</v>
      </c>
      <c r="W13">
        <v>2.5783606099999998E-2</v>
      </c>
      <c r="X13" t="s">
        <v>104</v>
      </c>
      <c r="Y13" t="s">
        <v>105</v>
      </c>
      <c r="Z13" t="s">
        <v>106</v>
      </c>
      <c r="AA13" t="s">
        <v>107</v>
      </c>
      <c r="AB13" t="s">
        <v>108</v>
      </c>
      <c r="AC13" t="s">
        <v>109</v>
      </c>
    </row>
    <row r="14" spans="2:29">
      <c r="U14" s="20" t="s">
        <v>43</v>
      </c>
      <c r="V14">
        <v>2.6900218E-2</v>
      </c>
      <c r="W14">
        <v>4.0751960499999997E-2</v>
      </c>
      <c r="X14" t="s">
        <v>110</v>
      </c>
      <c r="Y14" t="s">
        <v>111</v>
      </c>
      <c r="Z14" t="s">
        <v>112</v>
      </c>
      <c r="AA14" t="s">
        <v>113</v>
      </c>
      <c r="AB14" t="s">
        <v>114</v>
      </c>
      <c r="AC14" t="s">
        <v>115</v>
      </c>
    </row>
    <row r="15" spans="2:29">
      <c r="U15" s="20" t="s">
        <v>44</v>
      </c>
      <c r="V15">
        <v>-4.9020930999999997E-2</v>
      </c>
      <c r="W15">
        <v>-0.1125115724</v>
      </c>
      <c r="X15" t="s">
        <v>116</v>
      </c>
      <c r="Y15" t="s">
        <v>117</v>
      </c>
      <c r="Z15" t="s">
        <v>118</v>
      </c>
      <c r="AA15" t="s">
        <v>119</v>
      </c>
      <c r="AB15" t="s">
        <v>120</v>
      </c>
      <c r="AC15" t="s">
        <v>121</v>
      </c>
    </row>
    <row r="16" spans="2:29">
      <c r="U16" s="20" t="s">
        <v>45</v>
      </c>
      <c r="V16">
        <v>-6.6018649999999998E-2</v>
      </c>
      <c r="W16">
        <v>1.5362039100000001E-2</v>
      </c>
      <c r="X16" t="s">
        <v>122</v>
      </c>
      <c r="Y16" t="s">
        <v>123</v>
      </c>
      <c r="Z16" t="s">
        <v>124</v>
      </c>
      <c r="AA16" t="s">
        <v>125</v>
      </c>
      <c r="AB16" t="s">
        <v>126</v>
      </c>
      <c r="AC16" t="s">
        <v>127</v>
      </c>
    </row>
    <row r="17" spans="2:29">
      <c r="U17" s="20" t="s">
        <v>46</v>
      </c>
      <c r="V17">
        <v>-0.158122806</v>
      </c>
      <c r="W17">
        <v>2.00679912E-2</v>
      </c>
      <c r="X17" t="s">
        <v>128</v>
      </c>
      <c r="Y17" t="s">
        <v>129</v>
      </c>
      <c r="Z17" t="s">
        <v>130</v>
      </c>
      <c r="AA17" t="s">
        <v>131</v>
      </c>
      <c r="AB17" t="s">
        <v>132</v>
      </c>
      <c r="AC17" t="s">
        <v>133</v>
      </c>
    </row>
    <row r="18" spans="2:29">
      <c r="U18" s="20" t="s">
        <v>47</v>
      </c>
      <c r="V18">
        <v>-4.6455857000000003E-2</v>
      </c>
      <c r="W18">
        <v>-1.7664366599999998E-2</v>
      </c>
      <c r="X18" t="s">
        <v>134</v>
      </c>
      <c r="Y18" t="s">
        <v>135</v>
      </c>
      <c r="Z18" t="s">
        <v>136</v>
      </c>
      <c r="AA18" t="s">
        <v>137</v>
      </c>
      <c r="AB18" t="s">
        <v>138</v>
      </c>
      <c r="AC18" t="s">
        <v>139</v>
      </c>
    </row>
    <row r="19" spans="2:29">
      <c r="U19" s="20" t="s">
        <v>48</v>
      </c>
      <c r="V19">
        <v>4.4015007000000002E-2</v>
      </c>
      <c r="W19">
        <v>1.8075538200000001E-2</v>
      </c>
      <c r="X19" t="s">
        <v>140</v>
      </c>
      <c r="Y19" t="s">
        <v>141</v>
      </c>
      <c r="Z19" t="s">
        <v>142</v>
      </c>
      <c r="AA19" t="s">
        <v>143</v>
      </c>
      <c r="AB19" t="s">
        <v>144</v>
      </c>
      <c r="AC19" t="s">
        <v>145</v>
      </c>
    </row>
    <row r="20" spans="2:29">
      <c r="B20" s="20" t="s">
        <v>19</v>
      </c>
      <c r="C20" s="22">
        <v>1.8483291999999998E-2</v>
      </c>
      <c r="D20" s="22">
        <v>-7.5338710000000003E-2</v>
      </c>
      <c r="E20" s="22" t="s">
        <v>369</v>
      </c>
      <c r="F20" s="22" t="s">
        <v>370</v>
      </c>
      <c r="G20" s="22" t="s">
        <v>371</v>
      </c>
      <c r="H20" s="22" t="s">
        <v>372</v>
      </c>
      <c r="I20" s="22" t="s">
        <v>373</v>
      </c>
      <c r="J20" s="22" t="s">
        <v>374</v>
      </c>
      <c r="U20" s="20" t="s">
        <v>49</v>
      </c>
      <c r="V20">
        <v>-3.5882716000000002E-2</v>
      </c>
      <c r="W20">
        <v>-2.14859367E-2</v>
      </c>
      <c r="X20" t="s">
        <v>146</v>
      </c>
      <c r="Y20" t="s">
        <v>147</v>
      </c>
      <c r="Z20" t="s">
        <v>148</v>
      </c>
      <c r="AA20" t="s">
        <v>149</v>
      </c>
      <c r="AB20" t="s">
        <v>150</v>
      </c>
      <c r="AC20" t="s">
        <v>151</v>
      </c>
    </row>
    <row r="21" spans="2:29">
      <c r="B21" s="20" t="s">
        <v>20</v>
      </c>
      <c r="C21">
        <v>-8.4374737000000005E-2</v>
      </c>
      <c r="D21">
        <v>-4.4247340000000003E-2</v>
      </c>
      <c r="E21" t="s">
        <v>375</v>
      </c>
      <c r="F21" t="s">
        <v>376</v>
      </c>
      <c r="G21" t="s">
        <v>377</v>
      </c>
      <c r="H21" t="s">
        <v>378</v>
      </c>
      <c r="I21" t="s">
        <v>379</v>
      </c>
      <c r="J21" t="s">
        <v>380</v>
      </c>
      <c r="U21" s="20" t="s">
        <v>50</v>
      </c>
      <c r="V21">
        <v>0.20169272599999999</v>
      </c>
      <c r="W21">
        <v>-8.3367368900000002E-2</v>
      </c>
      <c r="X21" t="s">
        <v>152</v>
      </c>
      <c r="Y21" t="s">
        <v>153</v>
      </c>
      <c r="Z21" t="s">
        <v>154</v>
      </c>
      <c r="AA21" t="s">
        <v>155</v>
      </c>
      <c r="AB21" t="s">
        <v>156</v>
      </c>
      <c r="AC21" t="s">
        <v>157</v>
      </c>
    </row>
    <row r="22" spans="2:29">
      <c r="B22" s="20" t="s">
        <v>21</v>
      </c>
      <c r="C22">
        <v>-7.5096047999999999E-2</v>
      </c>
      <c r="D22">
        <v>-4.1176049999999999E-2</v>
      </c>
      <c r="E22" t="s">
        <v>381</v>
      </c>
      <c r="F22" t="s">
        <v>382</v>
      </c>
      <c r="G22" t="s">
        <v>383</v>
      </c>
      <c r="H22" t="s">
        <v>384</v>
      </c>
      <c r="I22" t="s">
        <v>385</v>
      </c>
      <c r="J22" t="s">
        <v>386</v>
      </c>
      <c r="U22" s="21" t="s">
        <v>51</v>
      </c>
      <c r="V22">
        <v>-0.124843835</v>
      </c>
      <c r="W22">
        <v>-1.90014986E-2</v>
      </c>
      <c r="X22" t="s">
        <v>158</v>
      </c>
      <c r="Y22" t="s">
        <v>159</v>
      </c>
      <c r="Z22" t="s">
        <v>160</v>
      </c>
      <c r="AA22" t="s">
        <v>161</v>
      </c>
      <c r="AB22" t="s">
        <v>162</v>
      </c>
      <c r="AC22" t="s">
        <v>163</v>
      </c>
    </row>
    <row r="23" spans="2:29">
      <c r="B23" s="20" t="s">
        <v>22</v>
      </c>
      <c r="C23">
        <v>2.8249144E-2</v>
      </c>
      <c r="D23">
        <v>-4.5888579999999998E-2</v>
      </c>
      <c r="E23" t="s">
        <v>387</v>
      </c>
      <c r="F23" t="s">
        <v>388</v>
      </c>
      <c r="G23" t="s">
        <v>389</v>
      </c>
      <c r="H23" t="s">
        <v>390</v>
      </c>
      <c r="I23" t="s">
        <v>391</v>
      </c>
      <c r="J23" t="s">
        <v>392</v>
      </c>
    </row>
    <row r="24" spans="2:29">
      <c r="B24" s="20" t="s">
        <v>23</v>
      </c>
      <c r="C24">
        <v>0.26934972499999998</v>
      </c>
      <c r="D24">
        <v>-1.9060870000000001E-2</v>
      </c>
      <c r="E24" t="s">
        <v>393</v>
      </c>
      <c r="F24" t="s">
        <v>394</v>
      </c>
      <c r="G24" t="s">
        <v>395</v>
      </c>
      <c r="H24" t="s">
        <v>396</v>
      </c>
      <c r="I24" t="s">
        <v>397</v>
      </c>
      <c r="J24" t="s">
        <v>398</v>
      </c>
    </row>
    <row r="25" spans="2:29">
      <c r="B25" s="20" t="s">
        <v>24</v>
      </c>
      <c r="C25">
        <v>-2.6419036999999999E-2</v>
      </c>
      <c r="D25">
        <v>4.0154870000000002E-2</v>
      </c>
      <c r="E25" t="s">
        <v>399</v>
      </c>
      <c r="F25" t="s">
        <v>400</v>
      </c>
      <c r="G25" t="s">
        <v>401</v>
      </c>
      <c r="H25" t="s">
        <v>402</v>
      </c>
      <c r="I25" t="s">
        <v>403</v>
      </c>
      <c r="J25" t="s">
        <v>404</v>
      </c>
      <c r="U25" s="20" t="s">
        <v>35</v>
      </c>
      <c r="V25">
        <v>4.9403169999999996E-3</v>
      </c>
      <c r="W25" s="46">
        <v>0.8783666</v>
      </c>
      <c r="X25" t="s">
        <v>164</v>
      </c>
      <c r="Y25" t="s">
        <v>165</v>
      </c>
      <c r="Z25" t="s">
        <v>166</v>
      </c>
      <c r="AA25" t="s">
        <v>167</v>
      </c>
      <c r="AB25" t="s">
        <v>168</v>
      </c>
      <c r="AC25" t="s">
        <v>169</v>
      </c>
    </row>
    <row r="26" spans="2:29">
      <c r="B26" s="20" t="s">
        <v>25</v>
      </c>
      <c r="C26">
        <v>5.1723740000000004E-3</v>
      </c>
      <c r="D26">
        <v>1.9484310000000001E-2</v>
      </c>
      <c r="E26" t="s">
        <v>405</v>
      </c>
      <c r="F26" t="s">
        <v>406</v>
      </c>
      <c r="G26" t="s">
        <v>407</v>
      </c>
      <c r="H26" t="s">
        <v>408</v>
      </c>
      <c r="I26" t="s">
        <v>409</v>
      </c>
      <c r="J26" t="s">
        <v>410</v>
      </c>
      <c r="U26" s="20" t="s">
        <v>36</v>
      </c>
      <c r="V26">
        <v>1.6451601999999999E-2</v>
      </c>
      <c r="W26" s="46">
        <v>0.89153870000000002</v>
      </c>
      <c r="X26" t="s">
        <v>170</v>
      </c>
      <c r="Y26" t="s">
        <v>171</v>
      </c>
      <c r="Z26" t="s">
        <v>172</v>
      </c>
      <c r="AA26" t="s">
        <v>173</v>
      </c>
      <c r="AB26" t="s">
        <v>174</v>
      </c>
      <c r="AC26" t="s">
        <v>175</v>
      </c>
    </row>
    <row r="27" spans="2:29">
      <c r="B27" s="20" t="s">
        <v>26</v>
      </c>
      <c r="C27">
        <v>-7.6551285999999996E-2</v>
      </c>
      <c r="D27">
        <v>5.1457349999999999E-2</v>
      </c>
      <c r="E27" t="s">
        <v>411</v>
      </c>
      <c r="F27" t="s">
        <v>412</v>
      </c>
      <c r="G27" t="s">
        <v>413</v>
      </c>
      <c r="H27" t="s">
        <v>414</v>
      </c>
      <c r="I27" t="s">
        <v>415</v>
      </c>
      <c r="J27" t="s">
        <v>416</v>
      </c>
      <c r="U27" s="20" t="s">
        <v>37</v>
      </c>
      <c r="V27">
        <v>0.61780933000000005</v>
      </c>
      <c r="W27" s="46">
        <v>5.0372819999999997E-3</v>
      </c>
      <c r="X27" t="s">
        <v>176</v>
      </c>
      <c r="Y27" t="s">
        <v>177</v>
      </c>
      <c r="Z27" t="s">
        <v>178</v>
      </c>
      <c r="AA27" t="s">
        <v>179</v>
      </c>
      <c r="AB27" t="s">
        <v>180</v>
      </c>
      <c r="AC27" t="s">
        <v>181</v>
      </c>
    </row>
    <row r="28" spans="2:29">
      <c r="B28" s="21" t="s">
        <v>27</v>
      </c>
      <c r="C28">
        <v>2.4686933000000001E-2</v>
      </c>
      <c r="D28">
        <v>7.0237750000000002E-2</v>
      </c>
      <c r="E28" t="s">
        <v>417</v>
      </c>
      <c r="F28" t="s">
        <v>418</v>
      </c>
      <c r="G28" t="s">
        <v>419</v>
      </c>
      <c r="H28" t="s">
        <v>420</v>
      </c>
      <c r="I28" t="s">
        <v>421</v>
      </c>
      <c r="J28" t="s">
        <v>422</v>
      </c>
      <c r="U28" s="20" t="s">
        <v>38</v>
      </c>
      <c r="V28">
        <v>0.82884542800000005</v>
      </c>
      <c r="W28" s="46">
        <v>4.3132379999999998E-2</v>
      </c>
      <c r="X28" t="s">
        <v>182</v>
      </c>
      <c r="Y28" t="s">
        <v>183</v>
      </c>
      <c r="Z28" t="s">
        <v>184</v>
      </c>
      <c r="AA28" t="s">
        <v>185</v>
      </c>
      <c r="AB28" t="s">
        <v>186</v>
      </c>
      <c r="AC28" t="s">
        <v>187</v>
      </c>
    </row>
    <row r="29" spans="2:29">
      <c r="U29" s="20" t="s">
        <v>39</v>
      </c>
      <c r="V29">
        <v>4.911571E-3</v>
      </c>
      <c r="W29" s="46">
        <v>0.40437459999999997</v>
      </c>
      <c r="X29" t="s">
        <v>188</v>
      </c>
      <c r="Y29" t="s">
        <v>189</v>
      </c>
      <c r="Z29" t="s">
        <v>190</v>
      </c>
      <c r="AA29" t="s">
        <v>191</v>
      </c>
      <c r="AB29" t="s">
        <v>192</v>
      </c>
      <c r="AC29" t="s">
        <v>193</v>
      </c>
    </row>
    <row r="30" spans="2:29">
      <c r="U30" s="20" t="s">
        <v>40</v>
      </c>
      <c r="V30">
        <v>0.609514585</v>
      </c>
      <c r="W30" s="46">
        <v>0.1702024</v>
      </c>
      <c r="X30" t="s">
        <v>194</v>
      </c>
      <c r="Y30" t="s">
        <v>195</v>
      </c>
      <c r="Z30" t="s">
        <v>196</v>
      </c>
      <c r="AA30" t="s">
        <v>197</v>
      </c>
      <c r="AB30" t="s">
        <v>198</v>
      </c>
      <c r="AC30" t="s">
        <v>199</v>
      </c>
    </row>
    <row r="31" spans="2:29">
      <c r="B31" s="23">
        <v>9.5948349999999998</v>
      </c>
      <c r="C31" s="22">
        <v>9.8780140000000003</v>
      </c>
      <c r="D31" s="22">
        <v>7.4993220000000003</v>
      </c>
      <c r="E31" s="22">
        <v>10.582777</v>
      </c>
      <c r="F31" s="22">
        <v>37.817284999999998</v>
      </c>
      <c r="G31" s="22">
        <v>3.7329490000000001</v>
      </c>
      <c r="H31" s="22">
        <v>3.3572069999999998</v>
      </c>
      <c r="I31" s="22">
        <v>8.3402250000000002</v>
      </c>
      <c r="J31" s="22">
        <v>9.1973859999999998</v>
      </c>
      <c r="U31" s="20" t="s">
        <v>41</v>
      </c>
      <c r="V31">
        <v>0.55845480400000003</v>
      </c>
      <c r="W31" s="46">
        <v>1.4217139999999999E-5</v>
      </c>
      <c r="X31" t="s">
        <v>200</v>
      </c>
      <c r="Y31" t="s">
        <v>201</v>
      </c>
      <c r="Z31" t="s">
        <v>202</v>
      </c>
      <c r="AA31" t="s">
        <v>203</v>
      </c>
      <c r="AB31" t="s">
        <v>204</v>
      </c>
      <c r="AC31" t="s">
        <v>205</v>
      </c>
    </row>
    <row r="32" spans="2:29">
      <c r="U32" s="20" t="s">
        <v>42</v>
      </c>
      <c r="V32">
        <v>0.644576696</v>
      </c>
      <c r="W32" s="46">
        <v>3.6454939999999998E-2</v>
      </c>
      <c r="X32" t="s">
        <v>206</v>
      </c>
      <c r="Y32" t="s">
        <v>207</v>
      </c>
      <c r="Z32" t="s">
        <v>208</v>
      </c>
      <c r="AA32" t="s">
        <v>209</v>
      </c>
      <c r="AB32" t="s">
        <v>210</v>
      </c>
      <c r="AC32" t="s">
        <v>211</v>
      </c>
    </row>
    <row r="33" spans="2:37">
      <c r="B33" s="23">
        <v>2.3941037000000001</v>
      </c>
      <c r="C33" s="22">
        <v>1.2742202899999999</v>
      </c>
      <c r="D33" s="22">
        <v>1.68932079</v>
      </c>
      <c r="E33" s="22">
        <v>1.0342351299999999</v>
      </c>
      <c r="F33" s="22">
        <v>9.9882200000000004E-2</v>
      </c>
      <c r="G33" s="22">
        <v>0.41042367000000002</v>
      </c>
      <c r="H33" s="22">
        <v>6.0207759999999999E-2</v>
      </c>
      <c r="I33" s="22">
        <v>3.760645E-2</v>
      </c>
      <c r="J33" s="22"/>
      <c r="U33" s="20" t="s">
        <v>43</v>
      </c>
      <c r="V33">
        <v>0.26174227700000002</v>
      </c>
      <c r="W33" s="46">
        <v>0.60070230000000002</v>
      </c>
      <c r="X33" t="s">
        <v>212</v>
      </c>
      <c r="Y33" t="s">
        <v>213</v>
      </c>
      <c r="Z33" t="s">
        <v>214</v>
      </c>
      <c r="AA33" t="s">
        <v>215</v>
      </c>
      <c r="AB33" t="s">
        <v>216</v>
      </c>
      <c r="AC33" t="s">
        <v>217</v>
      </c>
    </row>
    <row r="34" spans="2:37">
      <c r="U34" s="20" t="s">
        <v>44</v>
      </c>
      <c r="V34">
        <v>0.12495549</v>
      </c>
      <c r="W34" s="46">
        <v>0.65824349999999998</v>
      </c>
      <c r="X34" t="s">
        <v>218</v>
      </c>
      <c r="Y34" t="s">
        <v>219</v>
      </c>
      <c r="Z34" t="s">
        <v>220</v>
      </c>
      <c r="AA34" t="s">
        <v>221</v>
      </c>
      <c r="AB34" t="s">
        <v>222</v>
      </c>
      <c r="AC34" t="s">
        <v>223</v>
      </c>
    </row>
    <row r="35" spans="2:37">
      <c r="U35" s="20" t="s">
        <v>45</v>
      </c>
      <c r="V35">
        <v>0.414085751</v>
      </c>
      <c r="W35" s="46">
        <v>2.2420989999999998E-2</v>
      </c>
      <c r="X35" t="s">
        <v>224</v>
      </c>
      <c r="Y35" t="s">
        <v>225</v>
      </c>
      <c r="Z35" t="s">
        <v>226</v>
      </c>
      <c r="AA35" t="s">
        <v>227</v>
      </c>
      <c r="AB35" t="s">
        <v>228</v>
      </c>
      <c r="AC35" t="s">
        <v>229</v>
      </c>
    </row>
    <row r="36" spans="2:37">
      <c r="B36" s="20">
        <v>3.9454912000000002</v>
      </c>
      <c r="C36">
        <v>4.0105364999999997</v>
      </c>
      <c r="D36">
        <v>2.1968928999999999</v>
      </c>
      <c r="E36">
        <v>9.0885814000000007</v>
      </c>
      <c r="F36">
        <v>1.1803258999999999</v>
      </c>
      <c r="G36">
        <v>1.9499294</v>
      </c>
      <c r="H36">
        <v>3.7716940999999999</v>
      </c>
      <c r="I36">
        <v>7.5442128000000004</v>
      </c>
      <c r="J36">
        <v>1.0943229000000001</v>
      </c>
      <c r="K36">
        <v>8.6084046999999995</v>
      </c>
      <c r="L36">
        <v>3.8651298999999999</v>
      </c>
      <c r="M36">
        <v>15.8263777</v>
      </c>
      <c r="N36">
        <v>3.0593138999999998</v>
      </c>
      <c r="O36">
        <v>1.4036668000000001</v>
      </c>
      <c r="P36">
        <v>0.83746319999999996</v>
      </c>
      <c r="Q36">
        <v>21.7216427</v>
      </c>
      <c r="R36">
        <v>9.8960139999999992</v>
      </c>
      <c r="U36" s="20" t="s">
        <v>46</v>
      </c>
      <c r="V36">
        <v>0.611737643</v>
      </c>
      <c r="W36" s="46">
        <v>9.8533519999999993E-3</v>
      </c>
      <c r="X36" t="s">
        <v>230</v>
      </c>
      <c r="Y36" t="s">
        <v>231</v>
      </c>
      <c r="Z36" t="s">
        <v>232</v>
      </c>
      <c r="AA36" t="s">
        <v>233</v>
      </c>
      <c r="AB36" t="s">
        <v>234</v>
      </c>
      <c r="AC36" t="s">
        <v>235</v>
      </c>
    </row>
    <row r="37" spans="2:37">
      <c r="U37" s="20" t="s">
        <v>47</v>
      </c>
      <c r="V37">
        <v>0.29083268400000001</v>
      </c>
      <c r="W37" s="46">
        <v>4.2049259999999998E-2</v>
      </c>
      <c r="X37" t="s">
        <v>236</v>
      </c>
      <c r="Y37" t="s">
        <v>237</v>
      </c>
      <c r="Z37" t="s">
        <v>238</v>
      </c>
      <c r="AA37" t="s">
        <v>239</v>
      </c>
      <c r="AB37" t="s">
        <v>240</v>
      </c>
      <c r="AC37" t="s">
        <v>241</v>
      </c>
    </row>
    <row r="38" spans="2:37">
      <c r="U38" s="20" t="s">
        <v>48</v>
      </c>
      <c r="V38">
        <v>0.53106907699999994</v>
      </c>
      <c r="W38" s="46">
        <v>8.9563680000000007E-2</v>
      </c>
      <c r="X38" t="s">
        <v>242</v>
      </c>
      <c r="Y38" t="s">
        <v>243</v>
      </c>
      <c r="Z38" t="s">
        <v>244</v>
      </c>
      <c r="AA38" t="s">
        <v>245</v>
      </c>
      <c r="AB38" t="s">
        <v>246</v>
      </c>
      <c r="AC38" t="s">
        <v>247</v>
      </c>
    </row>
    <row r="39" spans="2:37">
      <c r="U39" s="20" t="s">
        <v>49</v>
      </c>
      <c r="V39">
        <v>0.64654307099999997</v>
      </c>
      <c r="W39" s="46">
        <v>0.23181170000000001</v>
      </c>
      <c r="X39" t="s">
        <v>248</v>
      </c>
      <c r="Y39" t="s">
        <v>249</v>
      </c>
      <c r="Z39" t="s">
        <v>250</v>
      </c>
      <c r="AA39" t="s">
        <v>251</v>
      </c>
      <c r="AB39" t="s">
        <v>252</v>
      </c>
      <c r="AC39" t="s">
        <v>253</v>
      </c>
    </row>
    <row r="40" spans="2:37">
      <c r="B40" s="20" t="s">
        <v>19</v>
      </c>
      <c r="C40">
        <v>2.7646273999999998E-2</v>
      </c>
      <c r="D40">
        <v>0.45931882400000001</v>
      </c>
      <c r="E40" t="s">
        <v>423</v>
      </c>
      <c r="F40" t="s">
        <v>424</v>
      </c>
      <c r="G40" t="s">
        <v>425</v>
      </c>
      <c r="H40" t="s">
        <v>426</v>
      </c>
      <c r="I40" t="s">
        <v>427</v>
      </c>
      <c r="J40" t="s">
        <v>428</v>
      </c>
      <c r="U40" s="20" t="s">
        <v>50</v>
      </c>
      <c r="V40">
        <v>0.76612967700000001</v>
      </c>
      <c r="W40" s="46">
        <v>0.13089229999999999</v>
      </c>
      <c r="X40" t="s">
        <v>254</v>
      </c>
      <c r="Y40" t="s">
        <v>255</v>
      </c>
      <c r="Z40" t="s">
        <v>256</v>
      </c>
      <c r="AA40" t="s">
        <v>257</v>
      </c>
      <c r="AB40" t="s">
        <v>258</v>
      </c>
      <c r="AC40" t="s">
        <v>259</v>
      </c>
    </row>
    <row r="41" spans="2:37">
      <c r="B41" s="20" t="s">
        <v>20</v>
      </c>
      <c r="C41">
        <v>0.61260862000000005</v>
      </c>
      <c r="D41">
        <v>0.16847387</v>
      </c>
      <c r="E41" t="s">
        <v>429</v>
      </c>
      <c r="F41" t="s">
        <v>430</v>
      </c>
      <c r="G41" t="s">
        <v>431</v>
      </c>
      <c r="H41" t="s">
        <v>432</v>
      </c>
      <c r="I41" t="s">
        <v>433</v>
      </c>
      <c r="J41" t="s">
        <v>434</v>
      </c>
      <c r="U41" s="21" t="s">
        <v>51</v>
      </c>
      <c r="V41">
        <v>0.53047857700000001</v>
      </c>
      <c r="W41" s="46">
        <v>1.2288800000000001E-2</v>
      </c>
      <c r="X41" t="s">
        <v>260</v>
      </c>
      <c r="Y41" t="s">
        <v>261</v>
      </c>
      <c r="Z41" t="s">
        <v>262</v>
      </c>
      <c r="AA41" t="s">
        <v>263</v>
      </c>
      <c r="AB41" t="s">
        <v>264</v>
      </c>
      <c r="AC41" t="s">
        <v>265</v>
      </c>
    </row>
    <row r="42" spans="2:37">
      <c r="B42" s="20" t="s">
        <v>21</v>
      </c>
      <c r="C42">
        <v>0.60222382399999996</v>
      </c>
      <c r="D42">
        <v>0.18105611999999999</v>
      </c>
      <c r="E42" t="s">
        <v>435</v>
      </c>
      <c r="F42" t="s">
        <v>436</v>
      </c>
      <c r="G42" t="s">
        <v>437</v>
      </c>
      <c r="H42" t="s">
        <v>438</v>
      </c>
      <c r="I42" t="s">
        <v>439</v>
      </c>
      <c r="J42" t="s">
        <v>440</v>
      </c>
    </row>
    <row r="43" spans="2:37">
      <c r="B43" s="20" t="s">
        <v>22</v>
      </c>
      <c r="C43">
        <v>4.4586786000000003E-2</v>
      </c>
      <c r="D43">
        <v>0.11765347800000001</v>
      </c>
      <c r="E43" t="s">
        <v>441</v>
      </c>
      <c r="F43" t="s">
        <v>442</v>
      </c>
      <c r="G43" t="s">
        <v>443</v>
      </c>
      <c r="H43" t="s">
        <v>444</v>
      </c>
      <c r="I43" t="s">
        <v>445</v>
      </c>
      <c r="J43" t="s">
        <v>446</v>
      </c>
    </row>
    <row r="44" spans="2:37">
      <c r="B44" s="20" t="s">
        <v>23</v>
      </c>
      <c r="C44">
        <v>0.98043063600000002</v>
      </c>
      <c r="D44">
        <v>4.9098630000000004E-3</v>
      </c>
      <c r="E44" t="s">
        <v>447</v>
      </c>
      <c r="F44" t="s">
        <v>448</v>
      </c>
      <c r="G44" t="s">
        <v>449</v>
      </c>
      <c r="H44" t="s">
        <v>450</v>
      </c>
      <c r="I44" t="s">
        <v>451</v>
      </c>
      <c r="J44" t="s">
        <v>452</v>
      </c>
    </row>
    <row r="45" spans="2:37">
      <c r="B45" s="20" t="s">
        <v>24</v>
      </c>
      <c r="C45">
        <v>0.122371559</v>
      </c>
      <c r="D45">
        <v>0.28269813799999999</v>
      </c>
      <c r="E45" t="s">
        <v>453</v>
      </c>
      <c r="F45" t="s">
        <v>454</v>
      </c>
      <c r="G45" t="s">
        <v>455</v>
      </c>
      <c r="H45" t="s">
        <v>456</v>
      </c>
      <c r="I45" t="s">
        <v>457</v>
      </c>
      <c r="J45" t="s">
        <v>458</v>
      </c>
      <c r="U45" s="23">
        <v>0.88330690000000001</v>
      </c>
      <c r="V45" s="22">
        <v>0.90799030000000003</v>
      </c>
      <c r="W45" s="22">
        <v>0.62284660000000003</v>
      </c>
      <c r="X45" s="22">
        <v>0.87197780000000003</v>
      </c>
      <c r="Y45" s="22">
        <v>0.40928609999999999</v>
      </c>
      <c r="Z45" s="22">
        <v>0.77971699999999999</v>
      </c>
      <c r="AA45" s="22">
        <v>0.55846899999999999</v>
      </c>
      <c r="AB45" s="22">
        <v>0.68103159999999996</v>
      </c>
      <c r="AC45" s="22">
        <v>0.86244460000000001</v>
      </c>
      <c r="AD45" s="22">
        <v>0.78319899999999998</v>
      </c>
      <c r="AE45" s="22">
        <v>0.43650670000000003</v>
      </c>
      <c r="AF45" s="22">
        <v>0.621591</v>
      </c>
      <c r="AG45" s="22">
        <v>0.33288190000000001</v>
      </c>
      <c r="AH45" s="22">
        <v>0.62063279999999998</v>
      </c>
      <c r="AI45" s="22">
        <v>0.87835479999999999</v>
      </c>
      <c r="AJ45" s="22">
        <v>0.89702190000000004</v>
      </c>
      <c r="AK45" s="22">
        <v>0.54276740000000001</v>
      </c>
    </row>
    <row r="46" spans="2:37">
      <c r="B46" s="20" t="s">
        <v>25</v>
      </c>
      <c r="C46">
        <v>4.2360050000000002E-3</v>
      </c>
      <c r="D46">
        <v>6.0110001000000003E-2</v>
      </c>
      <c r="E46" t="s">
        <v>459</v>
      </c>
      <c r="F46" t="s">
        <v>460</v>
      </c>
      <c r="G46" t="s">
        <v>461</v>
      </c>
      <c r="H46" t="s">
        <v>462</v>
      </c>
      <c r="I46" t="s">
        <v>463</v>
      </c>
      <c r="J46" t="s">
        <v>464</v>
      </c>
    </row>
    <row r="47" spans="2:37">
      <c r="B47" s="20" t="s">
        <v>26</v>
      </c>
      <c r="C47">
        <v>0.50308797599999999</v>
      </c>
      <c r="D47">
        <v>0.22731794299999999</v>
      </c>
      <c r="E47" t="s">
        <v>465</v>
      </c>
      <c r="F47" t="s">
        <v>466</v>
      </c>
      <c r="G47" t="s">
        <v>467</v>
      </c>
      <c r="H47" t="s">
        <v>468</v>
      </c>
      <c r="I47" t="s">
        <v>469</v>
      </c>
      <c r="J47" t="s">
        <v>470</v>
      </c>
    </row>
    <row r="48" spans="2:37">
      <c r="B48" s="21" t="s">
        <v>27</v>
      </c>
      <c r="C48">
        <v>8.7242797999999996E-2</v>
      </c>
      <c r="D48">
        <v>0.70621423000000005</v>
      </c>
      <c r="E48" t="s">
        <v>471</v>
      </c>
      <c r="F48" t="s">
        <v>472</v>
      </c>
      <c r="G48" t="s">
        <v>473</v>
      </c>
      <c r="H48" t="s">
        <v>474</v>
      </c>
      <c r="I48" t="s">
        <v>475</v>
      </c>
      <c r="J48" t="s">
        <v>476</v>
      </c>
    </row>
    <row r="49" spans="2:29">
      <c r="U49" s="20" t="s">
        <v>35</v>
      </c>
      <c r="V49">
        <v>3.6195949999999998E-2</v>
      </c>
      <c r="W49" s="46">
        <v>18.72465</v>
      </c>
      <c r="X49" t="s">
        <v>266</v>
      </c>
      <c r="Y49" t="s">
        <v>267</v>
      </c>
      <c r="Z49" t="s">
        <v>268</v>
      </c>
      <c r="AA49" t="s">
        <v>269</v>
      </c>
      <c r="AB49" t="s">
        <v>270</v>
      </c>
      <c r="AC49" t="s">
        <v>271</v>
      </c>
    </row>
    <row r="50" spans="2:29">
      <c r="U50" s="20" t="s">
        <v>36</v>
      </c>
      <c r="V50">
        <v>0.1225222</v>
      </c>
      <c r="W50" s="46">
        <v>19.318770000000001</v>
      </c>
      <c r="X50" t="s">
        <v>272</v>
      </c>
      <c r="Y50" t="s">
        <v>273</v>
      </c>
      <c r="Z50" t="s">
        <v>274</v>
      </c>
      <c r="AA50" t="s">
        <v>275</v>
      </c>
      <c r="AB50" t="s">
        <v>276</v>
      </c>
      <c r="AC50" t="s">
        <v>277</v>
      </c>
    </row>
    <row r="51" spans="2:29">
      <c r="U51" s="20" t="s">
        <v>37</v>
      </c>
      <c r="V51">
        <v>2.5203882200000001</v>
      </c>
      <c r="W51" s="46">
        <v>5.9791839999999999E-2</v>
      </c>
      <c r="X51" t="s">
        <v>278</v>
      </c>
      <c r="Y51" t="s">
        <v>279</v>
      </c>
      <c r="Z51" t="s">
        <v>280</v>
      </c>
      <c r="AA51" t="s">
        <v>281</v>
      </c>
      <c r="AB51" t="s">
        <v>282</v>
      </c>
      <c r="AC51" t="s">
        <v>283</v>
      </c>
    </row>
    <row r="52" spans="2:29">
      <c r="U52" s="20" t="s">
        <v>38</v>
      </c>
      <c r="V52">
        <v>13.98858338</v>
      </c>
      <c r="W52" s="46">
        <v>2.1180500000000002</v>
      </c>
      <c r="X52" t="s">
        <v>284</v>
      </c>
      <c r="Y52" t="s">
        <v>285</v>
      </c>
      <c r="Z52" t="s">
        <v>286</v>
      </c>
      <c r="AA52" t="s">
        <v>287</v>
      </c>
      <c r="AB52" t="s">
        <v>288</v>
      </c>
      <c r="AC52" t="s">
        <v>289</v>
      </c>
    </row>
    <row r="53" spans="2:29">
      <c r="U53" s="20" t="s">
        <v>39</v>
      </c>
      <c r="V53">
        <v>1.076531E-2</v>
      </c>
      <c r="W53" s="46">
        <v>2.5788289999999998</v>
      </c>
      <c r="X53" t="s">
        <v>290</v>
      </c>
      <c r="Y53" t="s">
        <v>291</v>
      </c>
      <c r="Z53" t="s">
        <v>292</v>
      </c>
      <c r="AA53" t="s">
        <v>293</v>
      </c>
      <c r="AB53" t="s">
        <v>294</v>
      </c>
      <c r="AC53" t="s">
        <v>295</v>
      </c>
    </row>
    <row r="54" spans="2:29">
      <c r="U54" s="20" t="s">
        <v>40</v>
      </c>
      <c r="V54">
        <v>2.2070240800000001</v>
      </c>
      <c r="W54" s="46">
        <v>1.7931699999999999</v>
      </c>
      <c r="X54" t="s">
        <v>296</v>
      </c>
      <c r="Y54" t="s">
        <v>297</v>
      </c>
      <c r="Z54" t="s">
        <v>298</v>
      </c>
      <c r="AA54" t="s">
        <v>299</v>
      </c>
      <c r="AB54" t="s">
        <v>300</v>
      </c>
      <c r="AC54" t="s">
        <v>301</v>
      </c>
    </row>
    <row r="55" spans="2:29">
      <c r="B55" s="20" t="s">
        <v>19</v>
      </c>
      <c r="C55">
        <v>2.7646273999999998E-2</v>
      </c>
      <c r="D55">
        <v>0.45931882400000001</v>
      </c>
      <c r="E55">
        <v>0.473538299</v>
      </c>
      <c r="F55">
        <v>1.637974E-2</v>
      </c>
      <c r="G55">
        <v>6.1834960000000001E-3</v>
      </c>
      <c r="H55">
        <v>5.8217364999999998E-3</v>
      </c>
      <c r="I55">
        <v>9.6833318999999998E-3</v>
      </c>
      <c r="J55" s="46">
        <v>1.4282990000000001E-3</v>
      </c>
      <c r="K55" s="30">
        <f>SUM(C55:D55)</f>
        <v>0.48696509799999999</v>
      </c>
      <c r="U55" s="20" t="s">
        <v>41</v>
      </c>
      <c r="V55">
        <v>3.91136711</v>
      </c>
      <c r="W55" s="46">
        <v>2.8972459999999998E-4</v>
      </c>
      <c r="X55" t="s">
        <v>302</v>
      </c>
      <c r="Y55" t="s">
        <v>303</v>
      </c>
      <c r="Z55" t="s">
        <v>304</v>
      </c>
      <c r="AA55" t="s">
        <v>305</v>
      </c>
      <c r="AB55" t="s">
        <v>306</v>
      </c>
      <c r="AC55" t="s">
        <v>307</v>
      </c>
    </row>
    <row r="56" spans="2:29">
      <c r="B56" s="20" t="s">
        <v>20</v>
      </c>
      <c r="C56">
        <v>0.61260862000000005</v>
      </c>
      <c r="D56">
        <v>0.16847387</v>
      </c>
      <c r="E56">
        <v>8.8162740000000007E-3</v>
      </c>
      <c r="F56">
        <v>8.8140962000000003E-2</v>
      </c>
      <c r="G56">
        <v>1.6971810000000001E-3</v>
      </c>
      <c r="H56">
        <v>0.1139148262</v>
      </c>
      <c r="I56">
        <v>6.3457564999999999E-3</v>
      </c>
      <c r="J56" s="46">
        <v>2.5100659999999998E-6</v>
      </c>
      <c r="K56" s="30">
        <f t="shared" ref="K56:K63" si="0">SUM(C56:D56)</f>
        <v>0.78108249000000007</v>
      </c>
      <c r="U56" s="20" t="s">
        <v>42</v>
      </c>
      <c r="V56">
        <v>9.0301012000000007</v>
      </c>
      <c r="W56" s="46">
        <v>1.4859599999999999</v>
      </c>
      <c r="X56" t="s">
        <v>308</v>
      </c>
      <c r="Y56" t="s">
        <v>309</v>
      </c>
      <c r="Z56" t="s">
        <v>310</v>
      </c>
      <c r="AA56" t="s">
        <v>311</v>
      </c>
      <c r="AB56" t="s">
        <v>312</v>
      </c>
      <c r="AC56" t="s">
        <v>313</v>
      </c>
    </row>
    <row r="57" spans="2:29">
      <c r="B57" s="20" t="s">
        <v>21</v>
      </c>
      <c r="C57">
        <v>0.60222382399999996</v>
      </c>
      <c r="D57">
        <v>0.18105611999999999</v>
      </c>
      <c r="E57">
        <v>1.1830013E-2</v>
      </c>
      <c r="F57">
        <v>7.3778139000000006E-2</v>
      </c>
      <c r="G57">
        <v>2.769334E-3</v>
      </c>
      <c r="H57">
        <v>0.1109278278</v>
      </c>
      <c r="I57">
        <v>1.5194583100000001E-2</v>
      </c>
      <c r="J57" s="46">
        <v>2.2201590000000002E-3</v>
      </c>
      <c r="K57" s="30">
        <f t="shared" si="0"/>
        <v>0.78327994400000001</v>
      </c>
      <c r="U57" s="20" t="s">
        <v>43</v>
      </c>
      <c r="V57">
        <v>0.53189200000000003</v>
      </c>
      <c r="W57" s="46">
        <v>3.5517430000000001</v>
      </c>
      <c r="X57" t="s">
        <v>314</v>
      </c>
      <c r="Y57" t="s">
        <v>315</v>
      </c>
      <c r="Z57" t="s">
        <v>316</v>
      </c>
      <c r="AA57" t="s">
        <v>317</v>
      </c>
      <c r="AB57" t="s">
        <v>318</v>
      </c>
      <c r="AC57" t="s">
        <v>319</v>
      </c>
    </row>
    <row r="58" spans="2:29">
      <c r="B58" s="20" t="s">
        <v>22</v>
      </c>
      <c r="C58">
        <v>4.4586786000000003E-2</v>
      </c>
      <c r="D58">
        <v>0.11765347800000001</v>
      </c>
      <c r="E58">
        <v>0.76535123299999996</v>
      </c>
      <c r="F58">
        <v>4.8220291999999998E-2</v>
      </c>
      <c r="G58">
        <v>4.9274849999999997E-3</v>
      </c>
      <c r="H58">
        <v>1.26506194E-2</v>
      </c>
      <c r="I58">
        <v>6.5786387000000002E-3</v>
      </c>
      <c r="J58" s="46">
        <v>3.1468170000000003E-5</v>
      </c>
      <c r="K58" s="30">
        <f t="shared" si="0"/>
        <v>0.16224026400000002</v>
      </c>
      <c r="U58" s="20" t="s">
        <v>44</v>
      </c>
      <c r="V58">
        <v>1.9974784800000001</v>
      </c>
      <c r="W58" s="46">
        <v>30.615829999999999</v>
      </c>
      <c r="X58" t="s">
        <v>320</v>
      </c>
      <c r="Y58" t="s">
        <v>321</v>
      </c>
      <c r="Z58" t="s">
        <v>322</v>
      </c>
      <c r="AA58" t="s">
        <v>323</v>
      </c>
      <c r="AB58" t="s">
        <v>324</v>
      </c>
      <c r="AC58" t="s">
        <v>325</v>
      </c>
    </row>
    <row r="59" spans="2:29">
      <c r="B59" s="20" t="s">
        <v>23</v>
      </c>
      <c r="C59">
        <v>0.98043063600000002</v>
      </c>
      <c r="D59">
        <v>4.9098630000000004E-3</v>
      </c>
      <c r="E59">
        <v>1.4084099999999999E-3</v>
      </c>
      <c r="F59">
        <v>3.7431230000000001E-3</v>
      </c>
      <c r="G59">
        <v>8.394917E-3</v>
      </c>
      <c r="H59">
        <v>2.698353E-4</v>
      </c>
      <c r="I59">
        <v>6.2782910000000003E-4</v>
      </c>
      <c r="J59" s="46">
        <v>2.153871E-4</v>
      </c>
      <c r="K59" s="30">
        <f t="shared" si="0"/>
        <v>0.98534049899999998</v>
      </c>
      <c r="U59" s="20" t="s">
        <v>45</v>
      </c>
      <c r="V59">
        <v>2.9720661499999999</v>
      </c>
      <c r="W59" s="46">
        <v>0.46822609999999998</v>
      </c>
      <c r="X59" t="s">
        <v>326</v>
      </c>
      <c r="Y59" t="s">
        <v>327</v>
      </c>
      <c r="Z59" t="s">
        <v>328</v>
      </c>
      <c r="AA59" t="s">
        <v>329</v>
      </c>
      <c r="AB59" t="s">
        <v>330</v>
      </c>
      <c r="AC59" t="s">
        <v>331</v>
      </c>
    </row>
    <row r="60" spans="2:29">
      <c r="B60" s="20" t="s">
        <v>24</v>
      </c>
      <c r="C60">
        <v>0.122371559</v>
      </c>
      <c r="D60">
        <v>0.28269813799999999</v>
      </c>
      <c r="E60">
        <v>4.6429640000000003E-3</v>
      </c>
      <c r="F60">
        <v>0.44751923399999999</v>
      </c>
      <c r="G60">
        <v>6.9559659999999995E-2</v>
      </c>
      <c r="H60">
        <v>4.0839049400000001E-2</v>
      </c>
      <c r="I60">
        <v>2.0303264599999999E-2</v>
      </c>
      <c r="J60" s="46">
        <v>1.206613E-2</v>
      </c>
      <c r="K60" s="30">
        <f t="shared" si="0"/>
        <v>0.40506969700000001</v>
      </c>
      <c r="U60" s="20" t="s">
        <v>46</v>
      </c>
      <c r="V60">
        <v>17.97839093</v>
      </c>
      <c r="W60" s="46">
        <v>0.84256279999999995</v>
      </c>
      <c r="X60" t="s">
        <v>332</v>
      </c>
      <c r="Y60" t="s">
        <v>333</v>
      </c>
      <c r="Z60" t="s">
        <v>334</v>
      </c>
      <c r="AA60" t="s">
        <v>335</v>
      </c>
      <c r="AB60" t="s">
        <v>336</v>
      </c>
      <c r="AC60" t="s">
        <v>337</v>
      </c>
    </row>
    <row r="61" spans="2:29">
      <c r="B61" s="20" t="s">
        <v>25</v>
      </c>
      <c r="C61">
        <v>4.2360050000000002E-3</v>
      </c>
      <c r="D61">
        <v>6.0110001000000003E-2</v>
      </c>
      <c r="E61">
        <v>0.42373359300000002</v>
      </c>
      <c r="F61">
        <v>0.35645363899999999</v>
      </c>
      <c r="G61">
        <v>6.3501290000000004E-3</v>
      </c>
      <c r="H61">
        <v>0.12599977470000001</v>
      </c>
      <c r="I61">
        <v>1.4743605E-3</v>
      </c>
      <c r="J61" s="46">
        <v>2.1642499999999999E-2</v>
      </c>
      <c r="K61" s="30">
        <f t="shared" si="0"/>
        <v>6.4346005999999997E-2</v>
      </c>
      <c r="U61" s="20" t="s">
        <v>47</v>
      </c>
      <c r="V61">
        <v>1.65223316</v>
      </c>
      <c r="W61" s="46">
        <v>0.69505499999999998</v>
      </c>
      <c r="X61" t="s">
        <v>338</v>
      </c>
      <c r="Y61" t="s">
        <v>339</v>
      </c>
      <c r="Z61" t="s">
        <v>340</v>
      </c>
      <c r="AA61" t="s">
        <v>341</v>
      </c>
      <c r="AB61" t="s">
        <v>342</v>
      </c>
      <c r="AC61" t="s">
        <v>343</v>
      </c>
    </row>
    <row r="62" spans="2:29">
      <c r="B62" s="20" t="s">
        <v>26</v>
      </c>
      <c r="C62">
        <v>0.50308797599999999</v>
      </c>
      <c r="D62">
        <v>0.22731794299999999</v>
      </c>
      <c r="E62">
        <v>1.4092478E-2</v>
      </c>
      <c r="F62">
        <v>1.5087809000000001E-2</v>
      </c>
      <c r="G62">
        <v>0.22903615899999999</v>
      </c>
      <c r="H62">
        <v>6.6281161999999999E-3</v>
      </c>
      <c r="I62">
        <v>4.7451934000000001E-3</v>
      </c>
      <c r="J62" s="46">
        <v>4.3247380000000001E-6</v>
      </c>
      <c r="K62" s="30">
        <f t="shared" si="0"/>
        <v>0.73040591899999996</v>
      </c>
      <c r="U62" s="20" t="s">
        <v>48</v>
      </c>
      <c r="V62">
        <v>1.3842646700000001</v>
      </c>
      <c r="W62" s="46">
        <v>0.67925480000000005</v>
      </c>
      <c r="X62" t="s">
        <v>344</v>
      </c>
      <c r="Y62" t="s">
        <v>345</v>
      </c>
      <c r="Z62" t="s">
        <v>346</v>
      </c>
      <c r="AA62" t="s">
        <v>347</v>
      </c>
      <c r="AB62" t="s">
        <v>348</v>
      </c>
      <c r="AC62" t="s">
        <v>349</v>
      </c>
    </row>
    <row r="63" spans="2:29">
      <c r="B63" s="21" t="s">
        <v>27</v>
      </c>
      <c r="C63">
        <v>8.7242797999999996E-2</v>
      </c>
      <c r="D63">
        <v>0.70621423000000005</v>
      </c>
      <c r="E63">
        <v>3.0993063000000001E-2</v>
      </c>
      <c r="F63">
        <v>0.101381102</v>
      </c>
      <c r="G63">
        <v>6.4806382999999995E-2</v>
      </c>
      <c r="H63">
        <v>6.6613276999999997E-3</v>
      </c>
      <c r="I63">
        <v>2.3355686999999999E-3</v>
      </c>
      <c r="J63" s="46">
        <v>3.6552690000000001E-4</v>
      </c>
      <c r="K63" s="30">
        <f t="shared" si="0"/>
        <v>0.79345702800000006</v>
      </c>
      <c r="U63" s="20" t="s">
        <v>49</v>
      </c>
      <c r="V63">
        <v>1.00546578</v>
      </c>
      <c r="W63" s="46">
        <v>1.0489090000000001</v>
      </c>
      <c r="X63" t="s">
        <v>350</v>
      </c>
      <c r="Y63" t="s">
        <v>351</v>
      </c>
      <c r="Z63" t="s">
        <v>352</v>
      </c>
      <c r="AA63" t="s">
        <v>353</v>
      </c>
      <c r="AB63" t="s">
        <v>354</v>
      </c>
      <c r="AC63" t="s">
        <v>355</v>
      </c>
    </row>
    <row r="64" spans="2:29">
      <c r="U64" s="20" t="s">
        <v>50</v>
      </c>
      <c r="V64">
        <v>30.902886079999998</v>
      </c>
      <c r="W64" s="46">
        <v>15.36185</v>
      </c>
      <c r="X64" t="s">
        <v>356</v>
      </c>
      <c r="Y64" t="s">
        <v>357</v>
      </c>
      <c r="Z64" t="s">
        <v>358</v>
      </c>
      <c r="AA64" t="s">
        <v>359</v>
      </c>
      <c r="AB64" t="s">
        <v>360</v>
      </c>
      <c r="AC64" t="s">
        <v>361</v>
      </c>
    </row>
    <row r="65" spans="2:29">
      <c r="U65" s="21" t="s">
        <v>51</v>
      </c>
      <c r="V65">
        <v>9.74837533</v>
      </c>
      <c r="W65" s="46">
        <v>0.65706209999999998</v>
      </c>
      <c r="X65" t="s">
        <v>362</v>
      </c>
      <c r="Y65" t="s">
        <v>363</v>
      </c>
      <c r="Z65" t="s">
        <v>364</v>
      </c>
      <c r="AA65" t="s">
        <v>365</v>
      </c>
      <c r="AB65" t="s">
        <v>366</v>
      </c>
      <c r="AC65" t="s">
        <v>367</v>
      </c>
    </row>
    <row r="66" spans="2:29">
      <c r="B66" s="20"/>
      <c r="C66" t="s">
        <v>477</v>
      </c>
      <c r="D66" t="s">
        <v>478</v>
      </c>
      <c r="E66" t="s">
        <v>479</v>
      </c>
      <c r="F66" t="s">
        <v>480</v>
      </c>
      <c r="G66" t="s">
        <v>481</v>
      </c>
      <c r="H66" t="s">
        <v>482</v>
      </c>
      <c r="I66" t="s">
        <v>483</v>
      </c>
      <c r="J66" t="s">
        <v>484</v>
      </c>
    </row>
    <row r="67" spans="2:29">
      <c r="B67" s="20" t="s">
        <v>19</v>
      </c>
      <c r="C67">
        <v>0.49258163999999999</v>
      </c>
      <c r="D67">
        <v>23.811598</v>
      </c>
      <c r="E67" t="s">
        <v>485</v>
      </c>
      <c r="F67" t="s">
        <v>486</v>
      </c>
      <c r="G67" t="s">
        <v>487</v>
      </c>
      <c r="H67" t="s">
        <v>488</v>
      </c>
      <c r="I67" t="s">
        <v>489</v>
      </c>
      <c r="J67" t="s">
        <v>490</v>
      </c>
    </row>
    <row r="68" spans="2:29">
      <c r="B68" s="20" t="s">
        <v>20</v>
      </c>
      <c r="C68">
        <v>11.237166459999999</v>
      </c>
      <c r="D68">
        <v>8.9916409999999996</v>
      </c>
      <c r="E68" t="s">
        <v>491</v>
      </c>
      <c r="F68" t="s">
        <v>492</v>
      </c>
      <c r="G68" t="s">
        <v>493</v>
      </c>
      <c r="H68" t="s">
        <v>494</v>
      </c>
      <c r="I68" t="s">
        <v>495</v>
      </c>
      <c r="J68" t="s">
        <v>496</v>
      </c>
    </row>
    <row r="69" spans="2:29">
      <c r="B69" s="20" t="s">
        <v>21</v>
      </c>
      <c r="C69">
        <v>8.3865629300000002</v>
      </c>
      <c r="D69">
        <v>7.336214</v>
      </c>
      <c r="E69" t="s">
        <v>497</v>
      </c>
      <c r="F69" t="s">
        <v>498</v>
      </c>
      <c r="G69" t="s">
        <v>499</v>
      </c>
      <c r="H69" t="s">
        <v>500</v>
      </c>
      <c r="I69" t="s">
        <v>501</v>
      </c>
      <c r="J69" t="s">
        <v>502</v>
      </c>
    </row>
    <row r="70" spans="2:29">
      <c r="B70" s="20" t="s">
        <v>22</v>
      </c>
      <c r="C70">
        <v>0.87621346</v>
      </c>
      <c r="D70">
        <v>6.7273059999999996</v>
      </c>
      <c r="E70" t="s">
        <v>503</v>
      </c>
      <c r="F70" t="s">
        <v>504</v>
      </c>
      <c r="G70" t="s">
        <v>505</v>
      </c>
      <c r="H70" t="s">
        <v>506</v>
      </c>
      <c r="I70" t="s">
        <v>507</v>
      </c>
      <c r="J70" t="s">
        <v>508</v>
      </c>
    </row>
    <row r="71" spans="2:29">
      <c r="B71" s="20" t="s">
        <v>23</v>
      </c>
      <c r="C71">
        <v>68.851166750000004</v>
      </c>
      <c r="D71">
        <v>1.0032209999999999</v>
      </c>
      <c r="E71" t="s">
        <v>509</v>
      </c>
      <c r="F71" t="s">
        <v>510</v>
      </c>
      <c r="G71" t="s">
        <v>511</v>
      </c>
      <c r="H71" t="s">
        <v>512</v>
      </c>
      <c r="I71" t="s">
        <v>513</v>
      </c>
      <c r="J71" t="s">
        <v>514</v>
      </c>
    </row>
    <row r="72" spans="2:29">
      <c r="B72" s="20" t="s">
        <v>24</v>
      </c>
      <c r="C72">
        <v>0.84827498000000001</v>
      </c>
      <c r="D72">
        <v>5.7017980000000001</v>
      </c>
      <c r="E72" t="s">
        <v>515</v>
      </c>
      <c r="F72" t="s">
        <v>516</v>
      </c>
      <c r="G72" t="s">
        <v>517</v>
      </c>
      <c r="H72" t="s">
        <v>518</v>
      </c>
      <c r="I72" t="s">
        <v>519</v>
      </c>
      <c r="J72" t="s">
        <v>520</v>
      </c>
    </row>
    <row r="73" spans="2:29">
      <c r="B73" s="20" t="s">
        <v>25</v>
      </c>
      <c r="C73">
        <v>2.6408190000000002E-2</v>
      </c>
      <c r="D73">
        <v>1.0903389999999999</v>
      </c>
      <c r="E73" t="s">
        <v>521</v>
      </c>
      <c r="F73" t="s">
        <v>522</v>
      </c>
      <c r="G73" t="s">
        <v>523</v>
      </c>
      <c r="H73" t="s">
        <v>524</v>
      </c>
      <c r="I73" t="s">
        <v>525</v>
      </c>
      <c r="J73" t="s">
        <v>526</v>
      </c>
    </row>
    <row r="74" spans="2:29">
      <c r="B74" s="20" t="s">
        <v>26</v>
      </c>
      <c r="C74">
        <v>7.7915850500000001</v>
      </c>
      <c r="D74">
        <v>10.243498000000001</v>
      </c>
      <c r="E74" t="s">
        <v>527</v>
      </c>
      <c r="F74" t="s">
        <v>528</v>
      </c>
      <c r="G74" t="s">
        <v>529</v>
      </c>
      <c r="H74" t="s">
        <v>530</v>
      </c>
      <c r="I74" t="s">
        <v>531</v>
      </c>
      <c r="J74" t="s">
        <v>532</v>
      </c>
    </row>
    <row r="75" spans="2:29">
      <c r="B75" s="21" t="s">
        <v>27</v>
      </c>
      <c r="C75">
        <v>1.49004055</v>
      </c>
      <c r="D75">
        <v>35.094386</v>
      </c>
      <c r="E75" t="s">
        <v>533</v>
      </c>
      <c r="F75" t="s">
        <v>534</v>
      </c>
      <c r="G75" t="s">
        <v>535</v>
      </c>
      <c r="H75" t="s">
        <v>536</v>
      </c>
      <c r="I75" t="s">
        <v>537</v>
      </c>
      <c r="J75" t="s">
        <v>538</v>
      </c>
    </row>
  </sheetData>
  <mergeCells count="8">
    <mergeCell ref="H2:I2"/>
    <mergeCell ref="J2:K2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Arkusz1</vt:lpstr>
      <vt:lpstr>Arkusz2</vt:lpstr>
      <vt:lpstr>Arkusz3</vt:lpstr>
      <vt:lpstr>Arkusz4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2025-06-22T16:40:30Z</dcterms:modified>
</cp:coreProperties>
</file>